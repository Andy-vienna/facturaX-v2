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ndre\Documents\eclipse.workspace\facturaX\templates\"/>
    </mc:Choice>
  </mc:AlternateContent>
  <xr:revisionPtr revIDLastSave="0" documentId="13_ncr:1_{47ED50F5-749F-4289-8C81-1F2F652845DB}" xr6:coauthVersionLast="47" xr6:coauthVersionMax="47" xr10:uidLastSave="{00000000-0000-0000-0000-000000000000}"/>
  <bookViews>
    <workbookView xWindow="-120" yWindow="-120" windowWidth="29040" windowHeight="17520" activeTab="1" xr2:uid="{D5BC7788-F870-41FC-9A2B-CBACBA14EE08}"/>
  </bookViews>
  <sheets>
    <sheet name="Grunddaten" sheetId="4" r:id="rId1"/>
    <sheet name="Januar" sheetId="16" r:id="rId2"/>
    <sheet name="Februar" sheetId="17" r:id="rId3"/>
    <sheet name="März" sheetId="18" r:id="rId4"/>
    <sheet name="April" sheetId="19" r:id="rId5"/>
    <sheet name="Mai" sheetId="20" r:id="rId6"/>
    <sheet name="Juni" sheetId="21" r:id="rId7"/>
    <sheet name="Juli" sheetId="1" r:id="rId8"/>
    <sheet name="August" sheetId="11" r:id="rId9"/>
    <sheet name="September" sheetId="12" r:id="rId10"/>
    <sheet name="Oktober" sheetId="13" r:id="rId11"/>
    <sheet name="November" sheetId="14" r:id="rId12"/>
    <sheet name="Dezember" sheetId="15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4" l="1"/>
  <c r="C14" i="4"/>
  <c r="C13" i="4"/>
  <c r="C12" i="4"/>
  <c r="C11" i="4"/>
  <c r="C10" i="4"/>
  <c r="C9" i="4"/>
  <c r="F34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F7" i="21"/>
  <c r="F6" i="21"/>
  <c r="F5" i="21"/>
  <c r="F4" i="21"/>
  <c r="B4" i="21"/>
  <c r="B5" i="21" s="1"/>
  <c r="F3" i="21"/>
  <c r="F35" i="21" s="1"/>
  <c r="A3" i="21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B4" i="20"/>
  <c r="B5" i="20" s="1"/>
  <c r="F3" i="20"/>
  <c r="F35" i="20" s="1"/>
  <c r="A3" i="20"/>
  <c r="F34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B4" i="19"/>
  <c r="B5" i="19" s="1"/>
  <c r="A4" i="19"/>
  <c r="F3" i="19"/>
  <c r="F35" i="19" s="1"/>
  <c r="A3" i="19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B4" i="18"/>
  <c r="B5" i="18" s="1"/>
  <c r="A4" i="18"/>
  <c r="F3" i="18"/>
  <c r="F35" i="18" s="1"/>
  <c r="A3" i="18"/>
  <c r="F34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B4" i="17"/>
  <c r="B5" i="17" s="1"/>
  <c r="F3" i="17"/>
  <c r="F35" i="17" s="1"/>
  <c r="A3" i="17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B5" i="16"/>
  <c r="B6" i="16" s="1"/>
  <c r="F4" i="16"/>
  <c r="B4" i="16"/>
  <c r="A4" i="16" s="1"/>
  <c r="F3" i="16"/>
  <c r="A3" i="16"/>
  <c r="C20" i="4"/>
  <c r="C19" i="4"/>
  <c r="C18" i="4"/>
  <c r="C17" i="4"/>
  <c r="C16" i="4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B4" i="15"/>
  <c r="B5" i="15" s="1"/>
  <c r="F3" i="15"/>
  <c r="F35" i="15" s="1"/>
  <c r="A3" i="15"/>
  <c r="F34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B4" i="14"/>
  <c r="B5" i="14" s="1"/>
  <c r="F3" i="14"/>
  <c r="F35" i="14" s="1"/>
  <c r="A3" i="14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35" i="13" s="1"/>
  <c r="F5" i="13"/>
  <c r="B5" i="13"/>
  <c r="B6" i="13" s="1"/>
  <c r="F4" i="13"/>
  <c r="B4" i="13"/>
  <c r="A4" i="13"/>
  <c r="F3" i="13"/>
  <c r="A3" i="13"/>
  <c r="F35" i="12"/>
  <c r="F34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B4" i="12"/>
  <c r="B5" i="12" s="1"/>
  <c r="F3" i="12"/>
  <c r="A3" i="12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35" i="11" s="1"/>
  <c r="F5" i="11"/>
  <c r="F4" i="11"/>
  <c r="B4" i="11"/>
  <c r="A4" i="11" s="1"/>
  <c r="F3" i="11"/>
  <c r="F34" i="11" s="1"/>
  <c r="A3" i="11"/>
  <c r="F34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" i="1"/>
  <c r="A3" i="1"/>
  <c r="B4" i="1"/>
  <c r="A4" i="1" s="1"/>
  <c r="A4" i="21" l="1"/>
  <c r="B6" i="20"/>
  <c r="A5" i="20"/>
  <c r="A4" i="20"/>
  <c r="A4" i="17"/>
  <c r="B6" i="21"/>
  <c r="A5" i="21"/>
  <c r="B7" i="20"/>
  <c r="A6" i="20"/>
  <c r="A5" i="19"/>
  <c r="B6" i="19"/>
  <c r="B6" i="18"/>
  <c r="A5" i="18"/>
  <c r="A5" i="17"/>
  <c r="B6" i="17"/>
  <c r="A5" i="16"/>
  <c r="A6" i="16"/>
  <c r="B7" i="16"/>
  <c r="F35" i="1"/>
  <c r="A4" i="15"/>
  <c r="B6" i="15"/>
  <c r="A5" i="15"/>
  <c r="A4" i="14"/>
  <c r="B6" i="14"/>
  <c r="A5" i="14"/>
  <c r="F34" i="13"/>
  <c r="A5" i="13"/>
  <c r="B7" i="13"/>
  <c r="A6" i="13"/>
  <c r="A4" i="12"/>
  <c r="B6" i="12"/>
  <c r="A5" i="12"/>
  <c r="B5" i="11"/>
  <c r="B5" i="1"/>
  <c r="B7" i="21" l="1"/>
  <c r="A6" i="21"/>
  <c r="B8" i="20"/>
  <c r="A7" i="20"/>
  <c r="B7" i="19"/>
  <c r="A6" i="19"/>
  <c r="B7" i="18"/>
  <c r="A6" i="18"/>
  <c r="B7" i="17"/>
  <c r="A6" i="17"/>
  <c r="A7" i="16"/>
  <c r="B8" i="16"/>
  <c r="B7" i="15"/>
  <c r="A6" i="15"/>
  <c r="A6" i="14"/>
  <c r="B7" i="14"/>
  <c r="B8" i="13"/>
  <c r="A7" i="13"/>
  <c r="B7" i="12"/>
  <c r="A6" i="12"/>
  <c r="B6" i="11"/>
  <c r="A5" i="11"/>
  <c r="B6" i="1"/>
  <c r="A5" i="1"/>
  <c r="A7" i="21" l="1"/>
  <c r="B8" i="21"/>
  <c r="A8" i="20"/>
  <c r="B9" i="20"/>
  <c r="A7" i="19"/>
  <c r="B8" i="19"/>
  <c r="A7" i="18"/>
  <c r="B8" i="18"/>
  <c r="B8" i="17"/>
  <c r="A7" i="17"/>
  <c r="B9" i="16"/>
  <c r="A8" i="16"/>
  <c r="B8" i="15"/>
  <c r="A7" i="15"/>
  <c r="A7" i="14"/>
  <c r="B8" i="14"/>
  <c r="A8" i="13"/>
  <c r="B9" i="13"/>
  <c r="A7" i="12"/>
  <c r="B8" i="12"/>
  <c r="B7" i="11"/>
  <c r="A6" i="11"/>
  <c r="A6" i="1"/>
  <c r="B7" i="1"/>
  <c r="B9" i="21" l="1"/>
  <c r="A8" i="21"/>
  <c r="B10" i="20"/>
  <c r="A9" i="20"/>
  <c r="B9" i="19"/>
  <c r="A8" i="19"/>
  <c r="B9" i="18"/>
  <c r="A8" i="18"/>
  <c r="A8" i="17"/>
  <c r="B9" i="17"/>
  <c r="A9" i="16"/>
  <c r="B10" i="16"/>
  <c r="B9" i="15"/>
  <c r="A8" i="15"/>
  <c r="A8" i="14"/>
  <c r="B9" i="14"/>
  <c r="B10" i="13"/>
  <c r="A9" i="13"/>
  <c r="B9" i="12"/>
  <c r="A8" i="12"/>
  <c r="B8" i="11"/>
  <c r="A7" i="11"/>
  <c r="A7" i="1"/>
  <c r="B8" i="1"/>
  <c r="B10" i="21" l="1"/>
  <c r="A9" i="21"/>
  <c r="B11" i="20"/>
  <c r="A10" i="20"/>
  <c r="B10" i="19"/>
  <c r="A9" i="19"/>
  <c r="A9" i="18"/>
  <c r="B10" i="18"/>
  <c r="B10" i="17"/>
  <c r="A9" i="17"/>
  <c r="B11" i="16"/>
  <c r="A10" i="16"/>
  <c r="A9" i="15"/>
  <c r="B10" i="15"/>
  <c r="B10" i="14"/>
  <c r="A9" i="14"/>
  <c r="B11" i="13"/>
  <c r="A10" i="13"/>
  <c r="A9" i="12"/>
  <c r="B10" i="12"/>
  <c r="A8" i="11"/>
  <c r="B9" i="11"/>
  <c r="B9" i="1"/>
  <c r="A8" i="1"/>
  <c r="B11" i="21" l="1"/>
  <c r="A10" i="21"/>
  <c r="A11" i="20"/>
  <c r="B12" i="20"/>
  <c r="A10" i="19"/>
  <c r="B11" i="19"/>
  <c r="B11" i="18"/>
  <c r="A10" i="18"/>
  <c r="B11" i="17"/>
  <c r="A10" i="17"/>
  <c r="B12" i="16"/>
  <c r="A11" i="16"/>
  <c r="B11" i="15"/>
  <c r="A10" i="15"/>
  <c r="B11" i="14"/>
  <c r="A10" i="14"/>
  <c r="B12" i="13"/>
  <c r="A11" i="13"/>
  <c r="B11" i="12"/>
  <c r="A10" i="12"/>
  <c r="B10" i="11"/>
  <c r="A9" i="11"/>
  <c r="A9" i="1"/>
  <c r="B10" i="1"/>
  <c r="B12" i="21" l="1"/>
  <c r="A11" i="21"/>
  <c r="A12" i="20"/>
  <c r="B13" i="20"/>
  <c r="A11" i="19"/>
  <c r="B12" i="19"/>
  <c r="B12" i="18"/>
  <c r="A11" i="18"/>
  <c r="B12" i="17"/>
  <c r="A11" i="17"/>
  <c r="A12" i="16"/>
  <c r="B13" i="16"/>
  <c r="B12" i="15"/>
  <c r="A11" i="15"/>
  <c r="A11" i="14"/>
  <c r="B12" i="14"/>
  <c r="B13" i="13"/>
  <c r="A12" i="13"/>
  <c r="B12" i="12"/>
  <c r="A11" i="12"/>
  <c r="A10" i="11"/>
  <c r="B11" i="11"/>
  <c r="A10" i="1"/>
  <c r="B11" i="1"/>
  <c r="A12" i="21" l="1"/>
  <c r="B13" i="21"/>
  <c r="A13" i="20"/>
  <c r="B14" i="20"/>
  <c r="A12" i="19"/>
  <c r="B13" i="19"/>
  <c r="A12" i="18"/>
  <c r="B13" i="18"/>
  <c r="A12" i="17"/>
  <c r="B13" i="17"/>
  <c r="A13" i="16"/>
  <c r="B14" i="16"/>
  <c r="B13" i="15"/>
  <c r="A12" i="15"/>
  <c r="A12" i="14"/>
  <c r="B13" i="14"/>
  <c r="A13" i="13"/>
  <c r="B14" i="13"/>
  <c r="A12" i="12"/>
  <c r="B13" i="12"/>
  <c r="A11" i="11"/>
  <c r="B12" i="11"/>
  <c r="B12" i="1"/>
  <c r="A11" i="1"/>
  <c r="A13" i="21" l="1"/>
  <c r="B14" i="21"/>
  <c r="B15" i="20"/>
  <c r="A14" i="20"/>
  <c r="A13" i="19"/>
  <c r="B14" i="19"/>
  <c r="A13" i="18"/>
  <c r="B14" i="18"/>
  <c r="A13" i="17"/>
  <c r="B14" i="17"/>
  <c r="B15" i="16"/>
  <c r="A14" i="16"/>
  <c r="A13" i="15"/>
  <c r="B14" i="15"/>
  <c r="A13" i="14"/>
  <c r="B14" i="14"/>
  <c r="B15" i="13"/>
  <c r="A14" i="13"/>
  <c r="B14" i="12"/>
  <c r="A13" i="12"/>
  <c r="A12" i="11"/>
  <c r="B13" i="11"/>
  <c r="B13" i="1"/>
  <c r="A12" i="1"/>
  <c r="B15" i="21" l="1"/>
  <c r="A14" i="21"/>
  <c r="B16" i="20"/>
  <c r="A15" i="20"/>
  <c r="B15" i="19"/>
  <c r="A14" i="19"/>
  <c r="B15" i="18"/>
  <c r="A14" i="18"/>
  <c r="B15" i="17"/>
  <c r="A14" i="17"/>
  <c r="B16" i="16"/>
  <c r="A15" i="16"/>
  <c r="B15" i="15"/>
  <c r="A14" i="15"/>
  <c r="B15" i="14"/>
  <c r="A14" i="14"/>
  <c r="B16" i="13"/>
  <c r="A15" i="13"/>
  <c r="A14" i="12"/>
  <c r="B15" i="12"/>
  <c r="A13" i="11"/>
  <c r="B14" i="11"/>
  <c r="B14" i="1"/>
  <c r="A13" i="1"/>
  <c r="B16" i="21" l="1"/>
  <c r="A15" i="21"/>
  <c r="A16" i="20"/>
  <c r="B17" i="20"/>
  <c r="A15" i="19"/>
  <c r="B16" i="19"/>
  <c r="B16" i="18"/>
  <c r="A15" i="18"/>
  <c r="B16" i="17"/>
  <c r="A15" i="17"/>
  <c r="B17" i="16"/>
  <c r="A16" i="16"/>
  <c r="B16" i="15"/>
  <c r="A15" i="15"/>
  <c r="B16" i="14"/>
  <c r="A15" i="14"/>
  <c r="B17" i="13"/>
  <c r="A16" i="13"/>
  <c r="A15" i="12"/>
  <c r="B16" i="12"/>
  <c r="A14" i="11"/>
  <c r="B15" i="11"/>
  <c r="B15" i="1"/>
  <c r="A14" i="1"/>
  <c r="B17" i="21" l="1"/>
  <c r="A16" i="21"/>
  <c r="B18" i="20"/>
  <c r="A17" i="20"/>
  <c r="B17" i="19"/>
  <c r="A16" i="19"/>
  <c r="A16" i="18"/>
  <c r="B17" i="18"/>
  <c r="B17" i="17"/>
  <c r="A16" i="17"/>
  <c r="A17" i="16"/>
  <c r="B18" i="16"/>
  <c r="B17" i="15"/>
  <c r="A16" i="15"/>
  <c r="B17" i="14"/>
  <c r="A16" i="14"/>
  <c r="B18" i="13"/>
  <c r="A17" i="13"/>
  <c r="B17" i="12"/>
  <c r="A16" i="12"/>
  <c r="B16" i="11"/>
  <c r="A15" i="11"/>
  <c r="B16" i="1"/>
  <c r="A15" i="1"/>
  <c r="B18" i="21" l="1"/>
  <c r="A17" i="21"/>
  <c r="A18" i="20"/>
  <c r="B19" i="20"/>
  <c r="B18" i="19"/>
  <c r="A17" i="19"/>
  <c r="B18" i="18"/>
  <c r="A17" i="18"/>
  <c r="B18" i="17"/>
  <c r="A17" i="17"/>
  <c r="B19" i="16"/>
  <c r="A18" i="16"/>
  <c r="B18" i="15"/>
  <c r="A17" i="15"/>
  <c r="A17" i="14"/>
  <c r="B18" i="14"/>
  <c r="A18" i="13"/>
  <c r="B19" i="13"/>
  <c r="A17" i="12"/>
  <c r="B18" i="12"/>
  <c r="A16" i="11"/>
  <c r="B17" i="11"/>
  <c r="A16" i="1"/>
  <c r="B17" i="1"/>
  <c r="A18" i="21" l="1"/>
  <c r="B19" i="21"/>
  <c r="A19" i="20"/>
  <c r="B20" i="20"/>
  <c r="A18" i="19"/>
  <c r="B19" i="19"/>
  <c r="A18" i="18"/>
  <c r="B19" i="18"/>
  <c r="A18" i="17"/>
  <c r="B19" i="17"/>
  <c r="A19" i="16"/>
  <c r="B20" i="16"/>
  <c r="A18" i="15"/>
  <c r="B19" i="15"/>
  <c r="A18" i="14"/>
  <c r="B19" i="14"/>
  <c r="A19" i="13"/>
  <c r="B20" i="13"/>
  <c r="A18" i="12"/>
  <c r="B19" i="12"/>
  <c r="B18" i="11"/>
  <c r="A17" i="11"/>
  <c r="A17" i="1"/>
  <c r="B18" i="1"/>
  <c r="B20" i="21" l="1"/>
  <c r="A19" i="21"/>
  <c r="B21" i="20"/>
  <c r="A20" i="20"/>
  <c r="A19" i="19"/>
  <c r="B20" i="19"/>
  <c r="B20" i="18"/>
  <c r="A19" i="18"/>
  <c r="B20" i="17"/>
  <c r="A19" i="17"/>
  <c r="B21" i="16"/>
  <c r="A20" i="16"/>
  <c r="B20" i="15"/>
  <c r="A19" i="15"/>
  <c r="A19" i="14"/>
  <c r="B20" i="14"/>
  <c r="B21" i="13"/>
  <c r="A20" i="13"/>
  <c r="B20" i="12"/>
  <c r="A19" i="12"/>
  <c r="B19" i="11"/>
  <c r="A18" i="11"/>
  <c r="A18" i="1"/>
  <c r="B19" i="1"/>
  <c r="B21" i="21" l="1"/>
  <c r="A20" i="21"/>
  <c r="B22" i="20"/>
  <c r="A21" i="20"/>
  <c r="B21" i="19"/>
  <c r="A20" i="19"/>
  <c r="A20" i="18"/>
  <c r="B21" i="18"/>
  <c r="B21" i="17"/>
  <c r="A20" i="17"/>
  <c r="A21" i="16"/>
  <c r="B22" i="16"/>
  <c r="A20" i="15"/>
  <c r="B21" i="15"/>
  <c r="B21" i="14"/>
  <c r="A20" i="14"/>
  <c r="B22" i="13"/>
  <c r="A21" i="13"/>
  <c r="B21" i="12"/>
  <c r="A20" i="12"/>
  <c r="B20" i="11"/>
  <c r="A19" i="11"/>
  <c r="B20" i="1"/>
  <c r="A19" i="1"/>
  <c r="B22" i="21" l="1"/>
  <c r="A21" i="21"/>
  <c r="B23" i="20"/>
  <c r="A22" i="20"/>
  <c r="A21" i="19"/>
  <c r="B22" i="19"/>
  <c r="A21" i="18"/>
  <c r="B22" i="18"/>
  <c r="B22" i="17"/>
  <c r="A21" i="17"/>
  <c r="A22" i="16"/>
  <c r="B23" i="16"/>
  <c r="B22" i="15"/>
  <c r="A21" i="15"/>
  <c r="B22" i="14"/>
  <c r="A21" i="14"/>
  <c r="B23" i="13"/>
  <c r="A22" i="13"/>
  <c r="B22" i="12"/>
  <c r="A21" i="12"/>
  <c r="B21" i="11"/>
  <c r="A20" i="11"/>
  <c r="A20" i="1"/>
  <c r="B21" i="1"/>
  <c r="B23" i="21" l="1"/>
  <c r="A22" i="21"/>
  <c r="B24" i="20"/>
  <c r="A23" i="20"/>
  <c r="B23" i="19"/>
  <c r="A22" i="19"/>
  <c r="B23" i="18"/>
  <c r="A22" i="18"/>
  <c r="A22" i="17"/>
  <c r="B23" i="17"/>
  <c r="A23" i="16"/>
  <c r="B24" i="16"/>
  <c r="B23" i="15"/>
  <c r="A22" i="15"/>
  <c r="A22" i="14"/>
  <c r="B23" i="14"/>
  <c r="B24" i="13"/>
  <c r="A23" i="13"/>
  <c r="B23" i="12"/>
  <c r="A22" i="12"/>
  <c r="B22" i="11"/>
  <c r="A21" i="11"/>
  <c r="B22" i="1"/>
  <c r="A21" i="1"/>
  <c r="A23" i="21" l="1"/>
  <c r="B24" i="21"/>
  <c r="A24" i="20"/>
  <c r="B25" i="20"/>
  <c r="A23" i="19"/>
  <c r="B24" i="19"/>
  <c r="A23" i="18"/>
  <c r="B24" i="18"/>
  <c r="B24" i="17"/>
  <c r="A23" i="17"/>
  <c r="B25" i="16"/>
  <c r="A24" i="16"/>
  <c r="A23" i="15"/>
  <c r="B24" i="15"/>
  <c r="B24" i="14"/>
  <c r="A23" i="14"/>
  <c r="A24" i="13"/>
  <c r="B25" i="13"/>
  <c r="A23" i="12"/>
  <c r="B24" i="12"/>
  <c r="A22" i="11"/>
  <c r="B23" i="11"/>
  <c r="A22" i="1"/>
  <c r="B23" i="1"/>
  <c r="B25" i="21" l="1"/>
  <c r="A24" i="21"/>
  <c r="B26" i="20"/>
  <c r="A25" i="20"/>
  <c r="B25" i="19"/>
  <c r="A24" i="19"/>
  <c r="A24" i="18"/>
  <c r="B25" i="18"/>
  <c r="B25" i="17"/>
  <c r="A24" i="17"/>
  <c r="B26" i="16"/>
  <c r="A25" i="16"/>
  <c r="A24" i="15"/>
  <c r="B25" i="15"/>
  <c r="A24" i="14"/>
  <c r="B25" i="14"/>
  <c r="B26" i="13"/>
  <c r="A25" i="13"/>
  <c r="B25" i="12"/>
  <c r="A24" i="12"/>
  <c r="A23" i="11"/>
  <c r="B24" i="11"/>
  <c r="B24" i="1"/>
  <c r="A23" i="1"/>
  <c r="B26" i="21" l="1"/>
  <c r="A25" i="21"/>
  <c r="B27" i="20"/>
  <c r="A26" i="20"/>
  <c r="B26" i="19"/>
  <c r="A25" i="19"/>
  <c r="A25" i="18"/>
  <c r="B26" i="18"/>
  <c r="B26" i="17"/>
  <c r="A25" i="17"/>
  <c r="B27" i="16"/>
  <c r="A26" i="16"/>
  <c r="A25" i="15"/>
  <c r="B26" i="15"/>
  <c r="B26" i="14"/>
  <c r="A25" i="14"/>
  <c r="B27" i="13"/>
  <c r="A26" i="13"/>
  <c r="A25" i="12"/>
  <c r="B26" i="12"/>
  <c r="A24" i="11"/>
  <c r="B25" i="11"/>
  <c r="B25" i="1"/>
  <c r="A24" i="1"/>
  <c r="B27" i="21" l="1"/>
  <c r="A26" i="21"/>
  <c r="A27" i="20"/>
  <c r="B28" i="20"/>
  <c r="B27" i="19"/>
  <c r="A26" i="19"/>
  <c r="B27" i="18"/>
  <c r="A26" i="18"/>
  <c r="B27" i="17"/>
  <c r="A26" i="17"/>
  <c r="B28" i="16"/>
  <c r="A27" i="16"/>
  <c r="B27" i="15"/>
  <c r="A26" i="15"/>
  <c r="B27" i="14"/>
  <c r="A26" i="14"/>
  <c r="B28" i="13"/>
  <c r="A27" i="13"/>
  <c r="B27" i="12"/>
  <c r="A26" i="12"/>
  <c r="B26" i="11"/>
  <c r="A25" i="11"/>
  <c r="B26" i="1"/>
  <c r="A25" i="1"/>
  <c r="B28" i="21" l="1"/>
  <c r="A27" i="21"/>
  <c r="B29" i="20"/>
  <c r="A28" i="20"/>
  <c r="B28" i="19"/>
  <c r="A27" i="19"/>
  <c r="B28" i="18"/>
  <c r="A27" i="18"/>
  <c r="A27" i="17"/>
  <c r="B28" i="17"/>
  <c r="A28" i="16"/>
  <c r="B29" i="16"/>
  <c r="A27" i="15"/>
  <c r="B28" i="15"/>
  <c r="B28" i="14"/>
  <c r="A27" i="14"/>
  <c r="B29" i="13"/>
  <c r="A28" i="13"/>
  <c r="B28" i="12"/>
  <c r="A27" i="12"/>
  <c r="A26" i="11"/>
  <c r="B27" i="11"/>
  <c r="A26" i="1"/>
  <c r="B27" i="1"/>
  <c r="A28" i="21" l="1"/>
  <c r="B29" i="21"/>
  <c r="A29" i="20"/>
  <c r="B30" i="20"/>
  <c r="A28" i="19"/>
  <c r="B29" i="19"/>
  <c r="A28" i="18"/>
  <c r="B29" i="18"/>
  <c r="B29" i="17"/>
  <c r="A28" i="17"/>
  <c r="B30" i="16"/>
  <c r="A29" i="16"/>
  <c r="A28" i="15"/>
  <c r="B29" i="15"/>
  <c r="A28" i="14"/>
  <c r="B29" i="14"/>
  <c r="A29" i="13"/>
  <c r="B30" i="13"/>
  <c r="A28" i="12"/>
  <c r="B29" i="12"/>
  <c r="B28" i="11"/>
  <c r="A27" i="11"/>
  <c r="B28" i="1"/>
  <c r="A27" i="1"/>
  <c r="A29" i="21" l="1"/>
  <c r="B30" i="21"/>
  <c r="B31" i="20"/>
  <c r="A30" i="20"/>
  <c r="A29" i="19"/>
  <c r="B30" i="19"/>
  <c r="A29" i="18"/>
  <c r="B30" i="18"/>
  <c r="A29" i="17"/>
  <c r="B30" i="17"/>
  <c r="A30" i="16"/>
  <c r="B31" i="16"/>
  <c r="A29" i="15"/>
  <c r="B30" i="15"/>
  <c r="A29" i="14"/>
  <c r="B30" i="14"/>
  <c r="A30" i="13"/>
  <c r="B31" i="13"/>
  <c r="A29" i="12"/>
  <c r="B30" i="12"/>
  <c r="A28" i="11"/>
  <c r="B29" i="11"/>
  <c r="A28" i="1"/>
  <c r="B29" i="1"/>
  <c r="B31" i="21" l="1"/>
  <c r="A30" i="21"/>
  <c r="B32" i="20"/>
  <c r="A31" i="20"/>
  <c r="B31" i="19"/>
  <c r="A30" i="19"/>
  <c r="A30" i="18"/>
  <c r="B31" i="18"/>
  <c r="A30" i="17"/>
  <c r="B32" i="16"/>
  <c r="A31" i="16"/>
  <c r="A30" i="15"/>
  <c r="B31" i="15"/>
  <c r="B31" i="14"/>
  <c r="A30" i="14"/>
  <c r="B32" i="13"/>
  <c r="A31" i="13"/>
  <c r="A30" i="12"/>
  <c r="B31" i="12"/>
  <c r="A29" i="11"/>
  <c r="B30" i="11"/>
  <c r="A29" i="1"/>
  <c r="B30" i="1"/>
  <c r="B32" i="21" l="1"/>
  <c r="A31" i="21"/>
  <c r="A32" i="20"/>
  <c r="B33" i="20"/>
  <c r="A33" i="20" s="1"/>
  <c r="B32" i="19"/>
  <c r="A31" i="19"/>
  <c r="A31" i="18"/>
  <c r="B32" i="18"/>
  <c r="A32" i="16"/>
  <c r="B33" i="16"/>
  <c r="A33" i="16" s="1"/>
  <c r="B32" i="15"/>
  <c r="A31" i="15"/>
  <c r="B32" i="14"/>
  <c r="A32" i="14" s="1"/>
  <c r="A31" i="14"/>
  <c r="B33" i="13"/>
  <c r="A33" i="13" s="1"/>
  <c r="A32" i="13"/>
  <c r="A31" i="12"/>
  <c r="B32" i="12"/>
  <c r="B31" i="11"/>
  <c r="A30" i="11"/>
  <c r="B31" i="1"/>
  <c r="A30" i="1"/>
  <c r="A32" i="21" l="1"/>
  <c r="A32" i="19"/>
  <c r="A32" i="18"/>
  <c r="B33" i="18"/>
  <c r="A33" i="18" s="1"/>
  <c r="B33" i="15"/>
  <c r="A33" i="15" s="1"/>
  <c r="A32" i="15"/>
  <c r="A32" i="12"/>
  <c r="B32" i="11"/>
  <c r="A31" i="11"/>
  <c r="B32" i="1"/>
  <c r="A31" i="1"/>
  <c r="A32" i="11" l="1"/>
  <c r="B33" i="11"/>
  <c r="A33" i="11" s="1"/>
  <c r="A32" i="1"/>
  <c r="B33" i="1"/>
  <c r="A33" i="1" s="1"/>
</calcChain>
</file>

<file path=xl/sharedStrings.xml><?xml version="1.0" encoding="utf-8"?>
<sst xmlns="http://schemas.openxmlformats.org/spreadsheetml/2006/main" count="140" uniqueCount="29">
  <si>
    <t>Wochentag</t>
  </si>
  <si>
    <t>Datum</t>
  </si>
  <si>
    <t>von</t>
  </si>
  <si>
    <t>bis</t>
  </si>
  <si>
    <t>Arbeitszeit</t>
  </si>
  <si>
    <t>Pause</t>
  </si>
  <si>
    <t>Summe</t>
  </si>
  <si>
    <t>Gesamtzeit</t>
  </si>
  <si>
    <t>Remote</t>
  </si>
  <si>
    <t>X</t>
  </si>
  <si>
    <t>Stundensätze laut Angebot</t>
  </si>
  <si>
    <t>vor Ort</t>
  </si>
  <si>
    <t>Kennung Remote</t>
  </si>
  <si>
    <t>Monat</t>
  </si>
  <si>
    <t>Summe Remote:</t>
  </si>
  <si>
    <t>Summe vor Ort:</t>
  </si>
  <si>
    <t>Juli</t>
  </si>
  <si>
    <t>August</t>
  </si>
  <si>
    <t>September</t>
  </si>
  <si>
    <t xml:space="preserve">Oktober </t>
  </si>
  <si>
    <t>November</t>
  </si>
  <si>
    <t>Dezember</t>
  </si>
  <si>
    <t>Jahr</t>
  </si>
  <si>
    <t>Januar</t>
  </si>
  <si>
    <t>Februar</t>
  </si>
  <si>
    <t>März</t>
  </si>
  <si>
    <t>April</t>
  </si>
  <si>
    <t>Mai</t>
  </si>
  <si>
    <t>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</si>
</sst>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h:mm;@"/>
    <numFmt numFmtId="165" formatCode="0.00_ ;[Red]\-0.00\ "/>
  </numFmts>
  <fonts count="5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1F1F1F"/>
      <name val="Arial"/>
      <family val="2"/>
    </font>
    <font>
      <b/>
      <sz val="11"/>
      <color theme="8" tint="-0.249977111117893"/>
      <name val="Arial"/>
      <family val="2"/>
    </font>
    <font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2" fillId="0" borderId="2" xfId="0" applyFont="1" applyBorder="1"/>
    <xf numFmtId="0" fontId="2" fillId="0" borderId="3" xfId="0" applyFont="1" applyBorder="1"/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3" borderId="3" xfId="0" applyFont="1" applyFill="1" applyBorder="1"/>
    <xf numFmtId="164" fontId="0" fillId="0" borderId="2" xfId="0" applyNumberFormat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/>
    </xf>
    <xf numFmtId="14" fontId="0" fillId="3" borderId="6" xfId="0" applyNumberFormat="1" applyFill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0" fillId="2" borderId="12" xfId="0" applyFill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0" fillId="3" borderId="15" xfId="0" applyNumberFormat="1" applyFill="1" applyBorder="1" applyAlignment="1">
      <alignment horizontal="center" vertical="center"/>
    </xf>
    <xf numFmtId="165" fontId="0" fillId="3" borderId="16" xfId="0" applyNumberFormat="1" applyFill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0" fontId="2" fillId="0" borderId="8" xfId="0" applyFont="1" applyBorder="1"/>
    <xf numFmtId="14" fontId="0" fillId="0" borderId="9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0" applyNumberFormat="1"/>
    <xf numFmtId="0" fontId="0" fillId="5" borderId="19" xfId="0" applyFill="1" applyBorder="1"/>
    <xf numFmtId="0" fontId="0" fillId="4" borderId="19" xfId="0" applyFill="1" applyBorder="1"/>
    <xf numFmtId="44" fontId="0" fillId="5" borderId="1" xfId="0" applyNumberFormat="1" applyFill="1" applyBorder="1"/>
    <xf numFmtId="44" fontId="0" fillId="4" borderId="1" xfId="0" applyNumberFormat="1" applyFill="1" applyBorder="1"/>
    <xf numFmtId="0" fontId="0" fillId="4" borderId="1" xfId="0" applyFill="1" applyBorder="1" applyAlignment="1">
      <alignment horizontal="center"/>
    </xf>
    <xf numFmtId="2" fontId="1" fillId="4" borderId="1" xfId="0" applyNumberFormat="1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165" fontId="3" fillId="0" borderId="14" xfId="0" applyNumberFormat="1" applyFont="1" applyBorder="1" applyAlignment="1">
      <alignment horizontal="center" vertical="center"/>
    </xf>
    <xf numFmtId="165" fontId="3" fillId="3" borderId="16" xfId="0" applyNumberFormat="1" applyFont="1" applyFill="1" applyBorder="1" applyAlignment="1">
      <alignment horizontal="center" vertical="center"/>
    </xf>
    <xf numFmtId="165" fontId="3" fillId="0" borderId="16" xfId="0" applyNumberFormat="1" applyFont="1" applyBorder="1" applyAlignment="1">
      <alignment horizontal="center" vertical="center"/>
    </xf>
    <xf numFmtId="165" fontId="3" fillId="0" borderId="18" xfId="0" applyNumberFormat="1" applyFont="1" applyBorder="1" applyAlignment="1">
      <alignment horizontal="center" vertical="center"/>
    </xf>
    <xf numFmtId="164" fontId="0" fillId="0" borderId="13" xfId="0" quotePrefix="1" applyNumberFormat="1" applyBorder="1" applyAlignment="1">
      <alignment horizontal="center" vertical="center"/>
    </xf>
    <xf numFmtId="164" fontId="0" fillId="0" borderId="2" xfId="0" quotePrefix="1" applyNumberFormat="1" applyBorder="1" applyAlignment="1">
      <alignment horizontal="center" vertical="center"/>
    </xf>
    <xf numFmtId="14" fontId="0" fillId="0" borderId="5" xfId="0" applyNumberFormat="1" applyBorder="1"/>
    <xf numFmtId="44" fontId="0" fillId="0" borderId="4" xfId="0" applyNumberFormat="1" applyBorder="1"/>
    <xf numFmtId="14" fontId="0" fillId="0" borderId="6" xfId="0" applyNumberFormat="1" applyBorder="1"/>
    <xf numFmtId="44" fontId="0" fillId="0" borderId="23" xfId="0" applyNumberFormat="1" applyBorder="1"/>
    <xf numFmtId="14" fontId="0" fillId="0" borderId="9" xfId="0" applyNumberFormat="1" applyBorder="1"/>
    <xf numFmtId="44" fontId="0" fillId="0" borderId="7" xfId="0" applyNumberFormat="1" applyBorder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6" borderId="19" xfId="0" applyFont="1" applyFill="1" applyBorder="1" applyAlignment="1">
      <alignment horizontal="center" vertical="center"/>
    </xf>
    <xf numFmtId="0" fontId="1" fillId="6" borderId="22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" fillId="4" borderId="19" xfId="0" applyFont="1" applyFill="1" applyBorder="1" applyAlignment="1">
      <alignment horizontal="right" vertical="center"/>
    </xf>
    <xf numFmtId="0" fontId="1" fillId="4" borderId="22" xfId="0" applyFont="1" applyFill="1" applyBorder="1" applyAlignment="1">
      <alignment horizontal="right" vertical="center"/>
    </xf>
    <xf numFmtId="0" fontId="0" fillId="2" borderId="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</cellXfs>
  <cellStyles count="1">
    <cellStyle name="Standard" xfId="0" builtinId="0"/>
  </cellStyles>
  <dxfs count="27"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numFmt numFmtId="34" formatCode="_-* #,##0.00\ &quot;€&quot;_-;\-* #,##0.00\ &quot;€&quot;_-;_-* &quot;-&quot;??\ &quot;€&quot;_-;_-@_-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394F5-C284-4120-8119-B34407462ECA}" name="Tabelle1" displayName="Tabelle1" ref="B8:C20" totalsRowShown="0" headerRowDxfId="26">
  <tableColumns count="2">
    <tableColumn id="2" xr3:uid="{2778A3E6-9B05-45DF-B5F8-682ACF4A3104}" name="Monat" dataDxfId="25"/>
    <tableColumn id="3" xr3:uid="{561D403B-3648-4824-A2E6-5F1D4954E4F1}" name="Summe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AC6F-8B6C-46DD-8783-E9DE320535FD}">
  <sheetPr codeName="Tabelle1"/>
  <dimension ref="B1:D20"/>
  <sheetViews>
    <sheetView zoomScaleNormal="100" workbookViewId="0">
      <selection activeCell="G15" sqref="G15"/>
    </sheetView>
  </sheetViews>
  <sheetFormatPr baseColWidth="10" defaultRowHeight="14.25" x14ac:dyDescent="0.2"/>
  <cols>
    <col min="1" max="1" width="2.5" customWidth="1"/>
    <col min="2" max="2" width="17.625" customWidth="1"/>
    <col min="3" max="3" width="13.5" customWidth="1"/>
  </cols>
  <sheetData>
    <row r="1" spans="2:3" ht="25.5" customHeight="1" x14ac:dyDescent="0.2">
      <c r="B1" s="50" t="s">
        <v>10</v>
      </c>
      <c r="C1" s="51"/>
    </row>
    <row r="2" spans="2:3" x14ac:dyDescent="0.2">
      <c r="B2" s="29" t="s">
        <v>11</v>
      </c>
      <c r="C2" s="31">
        <v>90</v>
      </c>
    </row>
    <row r="3" spans="2:3" x14ac:dyDescent="0.2">
      <c r="B3" s="30" t="s">
        <v>8</v>
      </c>
      <c r="C3" s="32">
        <v>70</v>
      </c>
    </row>
    <row r="4" spans="2:3" x14ac:dyDescent="0.2">
      <c r="B4" s="30" t="s">
        <v>12</v>
      </c>
      <c r="C4" s="33" t="s">
        <v>9</v>
      </c>
    </row>
    <row r="6" spans="2:3" ht="15" x14ac:dyDescent="0.25">
      <c r="B6" s="48" t="s">
        <v>22</v>
      </c>
      <c r="C6" s="49">
        <v>2025</v>
      </c>
    </row>
    <row r="8" spans="2:3" x14ac:dyDescent="0.2">
      <c r="B8" s="27" t="s">
        <v>13</v>
      </c>
      <c r="C8" s="27" t="s">
        <v>6</v>
      </c>
    </row>
    <row r="9" spans="2:3" x14ac:dyDescent="0.2">
      <c r="B9" s="42" t="s">
        <v>23</v>
      </c>
      <c r="C9" s="43">
        <f>(Januar!F34*C3)+(Januar!F35*C2)</f>
        <v>0</v>
      </c>
    </row>
    <row r="10" spans="2:3" x14ac:dyDescent="0.2">
      <c r="B10" s="44" t="s">
        <v>24</v>
      </c>
      <c r="C10" s="45">
        <f>(Februar!F34*C3)+(Februar!F35*C2)</f>
        <v>0</v>
      </c>
    </row>
    <row r="11" spans="2:3" x14ac:dyDescent="0.2">
      <c r="B11" s="44" t="s">
        <v>25</v>
      </c>
      <c r="C11" s="45">
        <f>(März!F34*C3)+(März!F35*C2)</f>
        <v>0</v>
      </c>
    </row>
    <row r="12" spans="2:3" x14ac:dyDescent="0.2">
      <c r="B12" s="44" t="s">
        <v>26</v>
      </c>
      <c r="C12" s="45">
        <f>(April!F34*C3)+(April!F35*C2)</f>
        <v>0</v>
      </c>
    </row>
    <row r="13" spans="2:3" x14ac:dyDescent="0.2">
      <c r="B13" s="44" t="s">
        <v>27</v>
      </c>
      <c r="C13" s="45">
        <f>(Mai!F34*C3)+(Mai!F35*C2)</f>
        <v>0</v>
      </c>
    </row>
    <row r="14" spans="2:3" x14ac:dyDescent="0.2">
      <c r="B14" s="44" t="s">
        <v>28</v>
      </c>
      <c r="C14" s="45">
        <f>(Juni!F34*C3)+(Juni!F35*C2)</f>
        <v>0</v>
      </c>
    </row>
    <row r="15" spans="2:3" x14ac:dyDescent="0.2">
      <c r="B15" s="44" t="s">
        <v>16</v>
      </c>
      <c r="C15" s="45">
        <f>(Juli!F34*C3)+(Juli!F35*C2)</f>
        <v>0</v>
      </c>
    </row>
    <row r="16" spans="2:3" x14ac:dyDescent="0.2">
      <c r="B16" s="44" t="s">
        <v>17</v>
      </c>
      <c r="C16" s="45">
        <f>(August!F34*C3)+(August!F35*C2)</f>
        <v>0</v>
      </c>
    </row>
    <row r="17" spans="2:4" x14ac:dyDescent="0.2">
      <c r="B17" s="44" t="s">
        <v>18</v>
      </c>
      <c r="C17" s="45">
        <f>(September!F34*C3)+(September!F35*C2)</f>
        <v>0</v>
      </c>
    </row>
    <row r="18" spans="2:4" x14ac:dyDescent="0.2">
      <c r="B18" s="44" t="s">
        <v>19</v>
      </c>
      <c r="C18" s="45">
        <f>(Oktober!F34*C3)+(Oktober!F35*C2)</f>
        <v>0</v>
      </c>
    </row>
    <row r="19" spans="2:4" x14ac:dyDescent="0.2">
      <c r="B19" s="44" t="s">
        <v>20</v>
      </c>
      <c r="C19" s="45">
        <f>(November!F34*C3)+(November!F35*C2)</f>
        <v>0</v>
      </c>
    </row>
    <row r="20" spans="2:4" x14ac:dyDescent="0.2">
      <c r="B20" s="46" t="s">
        <v>21</v>
      </c>
      <c r="C20" s="47">
        <f>(Dezember!F34*C3)+(Dezember!F35*C2)</f>
        <v>0</v>
      </c>
      <c r="D20" s="28"/>
    </row>
  </sheetData>
  <mergeCells count="1">
    <mergeCell ref="B1:C1"/>
  </mergeCells>
  <phoneticPr fontId="4" type="noConversion"/>
  <pageMargins left="0.7" right="0.7" top="0.78740157499999996" bottom="0.78740157499999996" header="0.3" footer="0.3"/>
  <pageSetup paperSize="9" orientation="portrait" r:id="rId1"/>
  <headerFooter>
    <oddHeader>&amp;CGrunddaten 2025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FC5C3-90D5-4D97-9DD1-C5FDD8F02401}">
  <sheetPr codeName="Tabelle2">
    <pageSetUpPr fitToPage="1"/>
  </sheetPr>
  <dimension ref="A1:G35"/>
  <sheetViews>
    <sheetView tabSelected="1" view="pageLayout" zoomScaleNormal="100" workbookViewId="0">
      <selection activeCell="C3" sqref="C3"/>
    </sheetView>
  </sheetViews>
  <sheetFormatPr baseColWidth="10" defaultRowHeight="14.25" x14ac:dyDescent="0.2"/>
  <cols>
    <col min="1" max="1" width="15.375" bestFit="1" customWidth="1"/>
    <col min="8" max="8" width="12.625" customWidth="1"/>
  </cols>
  <sheetData>
    <row r="1" spans="1:7" ht="15" customHeight="1" x14ac:dyDescent="0.2">
      <c r="A1" s="56" t="s">
        <v>0</v>
      </c>
      <c r="B1" s="58" t="s">
        <v>1</v>
      </c>
      <c r="C1" s="60" t="s">
        <v>4</v>
      </c>
      <c r="D1" s="61"/>
      <c r="E1" s="61"/>
      <c r="F1" s="62" t="s">
        <v>7</v>
      </c>
      <c r="G1" s="52" t="s">
        <v>8</v>
      </c>
    </row>
    <row r="2" spans="1:7" ht="15" customHeight="1" x14ac:dyDescent="0.2">
      <c r="A2" s="57"/>
      <c r="B2" s="59"/>
      <c r="C2" s="15" t="s">
        <v>2</v>
      </c>
      <c r="D2" s="6" t="s">
        <v>3</v>
      </c>
      <c r="E2" s="35" t="s">
        <v>5</v>
      </c>
      <c r="F2" s="63"/>
      <c r="G2" s="53"/>
    </row>
    <row r="3" spans="1:7" ht="15" customHeight="1" x14ac:dyDescent="0.2">
      <c r="A3" s="1" t="str">
        <f>TEXT(B3,"TTTT")</f>
        <v>Mittwoch</v>
      </c>
      <c r="B3" s="12">
        <v>45658</v>
      </c>
      <c r="C3" s="40"/>
      <c r="D3" s="41"/>
      <c r="E3" s="36"/>
      <c r="F3" s="17">
        <f>((D3-C3)*24)-E3</f>
        <v>0</v>
      </c>
      <c r="G3" s="4"/>
    </row>
    <row r="4" spans="1:7" ht="15" customHeight="1" x14ac:dyDescent="0.2">
      <c r="A4" s="7" t="str">
        <f t="shared" ref="A4:A33" si="0">TEXT(B4,"TTTT")</f>
        <v>Donnerstag</v>
      </c>
      <c r="B4" s="13">
        <f>B3+1</f>
        <v>45659</v>
      </c>
      <c r="C4" s="18"/>
      <c r="D4" s="9"/>
      <c r="E4" s="37"/>
      <c r="F4" s="19">
        <f t="shared" ref="F4:F33" si="1">((D4-C4)*24)-E4</f>
        <v>0</v>
      </c>
      <c r="G4" s="10"/>
    </row>
    <row r="5" spans="1:7" ht="15" customHeight="1" x14ac:dyDescent="0.2">
      <c r="A5" s="2" t="str">
        <f t="shared" si="0"/>
        <v>Freitag</v>
      </c>
      <c r="B5" s="14">
        <f t="shared" ref="B5:B33" si="2">B4+1</f>
        <v>45660</v>
      </c>
      <c r="C5" s="20"/>
      <c r="D5" s="11"/>
      <c r="E5" s="38"/>
      <c r="F5" s="21">
        <f t="shared" si="1"/>
        <v>0</v>
      </c>
      <c r="G5" s="5"/>
    </row>
    <row r="6" spans="1:7" ht="15" customHeight="1" x14ac:dyDescent="0.2">
      <c r="A6" s="7" t="str">
        <f t="shared" si="0"/>
        <v>Samstag</v>
      </c>
      <c r="B6" s="13">
        <f t="shared" si="2"/>
        <v>45661</v>
      </c>
      <c r="C6" s="18"/>
      <c r="D6" s="9"/>
      <c r="E6" s="37"/>
      <c r="F6" s="19">
        <f t="shared" si="1"/>
        <v>0</v>
      </c>
      <c r="G6" s="10"/>
    </row>
    <row r="7" spans="1:7" ht="15" customHeight="1" x14ac:dyDescent="0.2">
      <c r="A7" s="2" t="str">
        <f t="shared" si="0"/>
        <v>Sonntag</v>
      </c>
      <c r="B7" s="14">
        <f t="shared" si="2"/>
        <v>45662</v>
      </c>
      <c r="C7" s="20"/>
      <c r="D7" s="11"/>
      <c r="E7" s="38"/>
      <c r="F7" s="21">
        <f t="shared" si="1"/>
        <v>0</v>
      </c>
      <c r="G7" s="5"/>
    </row>
    <row r="8" spans="1:7" ht="15" customHeight="1" x14ac:dyDescent="0.2">
      <c r="A8" s="7" t="str">
        <f t="shared" si="0"/>
        <v>Montag</v>
      </c>
      <c r="B8" s="13">
        <f t="shared" si="2"/>
        <v>45663</v>
      </c>
      <c r="C8" s="18"/>
      <c r="D8" s="9"/>
      <c r="E8" s="37"/>
      <c r="F8" s="19">
        <f t="shared" si="1"/>
        <v>0</v>
      </c>
      <c r="G8" s="10"/>
    </row>
    <row r="9" spans="1:7" ht="15" customHeight="1" x14ac:dyDescent="0.2">
      <c r="A9" s="2" t="str">
        <f t="shared" si="0"/>
        <v>Dienstag</v>
      </c>
      <c r="B9" s="14">
        <f t="shared" si="2"/>
        <v>45664</v>
      </c>
      <c r="C9" s="20"/>
      <c r="D9" s="11"/>
      <c r="E9" s="38"/>
      <c r="F9" s="21">
        <f t="shared" si="1"/>
        <v>0</v>
      </c>
      <c r="G9" s="5"/>
    </row>
    <row r="10" spans="1:7" ht="15" customHeight="1" x14ac:dyDescent="0.2">
      <c r="A10" s="7" t="str">
        <f t="shared" si="0"/>
        <v>Mittwoch</v>
      </c>
      <c r="B10" s="13">
        <f t="shared" si="2"/>
        <v>45665</v>
      </c>
      <c r="C10" s="18"/>
      <c r="D10" s="9"/>
      <c r="E10" s="37"/>
      <c r="F10" s="19">
        <f t="shared" si="1"/>
        <v>0</v>
      </c>
      <c r="G10" s="10"/>
    </row>
    <row r="11" spans="1:7" ht="15" customHeight="1" x14ac:dyDescent="0.2">
      <c r="A11" s="2" t="str">
        <f t="shared" si="0"/>
        <v>Donnerstag</v>
      </c>
      <c r="B11" s="14">
        <f t="shared" si="2"/>
        <v>45666</v>
      </c>
      <c r="C11" s="20"/>
      <c r="D11" s="11"/>
      <c r="E11" s="38"/>
      <c r="F11" s="21">
        <f t="shared" si="1"/>
        <v>0</v>
      </c>
      <c r="G11" s="5"/>
    </row>
    <row r="12" spans="1:7" ht="15" customHeight="1" x14ac:dyDescent="0.2">
      <c r="A12" s="7" t="str">
        <f t="shared" si="0"/>
        <v>Freitag</v>
      </c>
      <c r="B12" s="13">
        <f t="shared" si="2"/>
        <v>45667</v>
      </c>
      <c r="C12" s="18"/>
      <c r="D12" s="9"/>
      <c r="E12" s="37"/>
      <c r="F12" s="19">
        <f t="shared" si="1"/>
        <v>0</v>
      </c>
      <c r="G12" s="10"/>
    </row>
    <row r="13" spans="1:7" ht="15" customHeight="1" x14ac:dyDescent="0.2">
      <c r="A13" s="2" t="str">
        <f t="shared" si="0"/>
        <v>Samstag</v>
      </c>
      <c r="B13" s="14">
        <f t="shared" si="2"/>
        <v>45668</v>
      </c>
      <c r="C13" s="20"/>
      <c r="D13" s="11"/>
      <c r="E13" s="38"/>
      <c r="F13" s="21">
        <f t="shared" si="1"/>
        <v>0</v>
      </c>
      <c r="G13" s="5"/>
    </row>
    <row r="14" spans="1:7" ht="15" customHeight="1" x14ac:dyDescent="0.2">
      <c r="A14" s="7" t="str">
        <f t="shared" si="0"/>
        <v>Sonntag</v>
      </c>
      <c r="B14" s="13">
        <f t="shared" si="2"/>
        <v>45669</v>
      </c>
      <c r="C14" s="18"/>
      <c r="D14" s="9"/>
      <c r="E14" s="37"/>
      <c r="F14" s="19">
        <f t="shared" si="1"/>
        <v>0</v>
      </c>
      <c r="G14" s="10"/>
    </row>
    <row r="15" spans="1:7" ht="15" customHeight="1" x14ac:dyDescent="0.2">
      <c r="A15" s="2" t="str">
        <f t="shared" si="0"/>
        <v>Montag</v>
      </c>
      <c r="B15" s="14">
        <f t="shared" si="2"/>
        <v>45670</v>
      </c>
      <c r="C15" s="20"/>
      <c r="D15" s="11"/>
      <c r="E15" s="38"/>
      <c r="F15" s="21">
        <f t="shared" si="1"/>
        <v>0</v>
      </c>
      <c r="G15" s="5"/>
    </row>
    <row r="16" spans="1:7" ht="15" customHeight="1" x14ac:dyDescent="0.2">
      <c r="A16" s="7" t="str">
        <f t="shared" si="0"/>
        <v>Dienstag</v>
      </c>
      <c r="B16" s="13">
        <f t="shared" si="2"/>
        <v>45671</v>
      </c>
      <c r="C16" s="18"/>
      <c r="D16" s="9"/>
      <c r="E16" s="37"/>
      <c r="F16" s="19">
        <f t="shared" si="1"/>
        <v>0</v>
      </c>
      <c r="G16" s="10"/>
    </row>
    <row r="17" spans="1:7" ht="15" customHeight="1" x14ac:dyDescent="0.2">
      <c r="A17" s="2" t="str">
        <f t="shared" si="0"/>
        <v>Mittwoch</v>
      </c>
      <c r="B17" s="14">
        <f t="shared" si="2"/>
        <v>45672</v>
      </c>
      <c r="C17" s="20"/>
      <c r="D17" s="11"/>
      <c r="E17" s="38"/>
      <c r="F17" s="21">
        <f t="shared" si="1"/>
        <v>0</v>
      </c>
      <c r="G17" s="5"/>
    </row>
    <row r="18" spans="1:7" ht="15" customHeight="1" x14ac:dyDescent="0.2">
      <c r="A18" s="7" t="str">
        <f t="shared" si="0"/>
        <v>Donnerstag</v>
      </c>
      <c r="B18" s="13">
        <f t="shared" si="2"/>
        <v>45673</v>
      </c>
      <c r="C18" s="18"/>
      <c r="D18" s="9"/>
      <c r="E18" s="37"/>
      <c r="F18" s="19">
        <f t="shared" si="1"/>
        <v>0</v>
      </c>
      <c r="G18" s="10"/>
    </row>
    <row r="19" spans="1:7" ht="15" customHeight="1" x14ac:dyDescent="0.2">
      <c r="A19" s="2" t="str">
        <f t="shared" si="0"/>
        <v>Freitag</v>
      </c>
      <c r="B19" s="14">
        <f t="shared" si="2"/>
        <v>45674</v>
      </c>
      <c r="C19" s="20"/>
      <c r="D19" s="11"/>
      <c r="E19" s="38"/>
      <c r="F19" s="21">
        <f t="shared" si="1"/>
        <v>0</v>
      </c>
      <c r="G19" s="5"/>
    </row>
    <row r="20" spans="1:7" ht="15" customHeight="1" x14ac:dyDescent="0.2">
      <c r="A20" s="7" t="str">
        <f t="shared" si="0"/>
        <v>Samstag</v>
      </c>
      <c r="B20" s="13">
        <f t="shared" si="2"/>
        <v>45675</v>
      </c>
      <c r="C20" s="18"/>
      <c r="D20" s="9"/>
      <c r="E20" s="37"/>
      <c r="F20" s="19">
        <f t="shared" si="1"/>
        <v>0</v>
      </c>
      <c r="G20" s="10"/>
    </row>
    <row r="21" spans="1:7" ht="15" customHeight="1" x14ac:dyDescent="0.2">
      <c r="A21" s="2" t="str">
        <f t="shared" si="0"/>
        <v>Sonntag</v>
      </c>
      <c r="B21" s="14">
        <f t="shared" si="2"/>
        <v>45676</v>
      </c>
      <c r="C21" s="20"/>
      <c r="D21" s="11"/>
      <c r="E21" s="38"/>
      <c r="F21" s="21">
        <f t="shared" si="1"/>
        <v>0</v>
      </c>
      <c r="G21" s="5"/>
    </row>
    <row r="22" spans="1:7" ht="15" customHeight="1" x14ac:dyDescent="0.2">
      <c r="A22" s="7" t="str">
        <f t="shared" si="0"/>
        <v>Montag</v>
      </c>
      <c r="B22" s="13">
        <f t="shared" si="2"/>
        <v>45677</v>
      </c>
      <c r="C22" s="18"/>
      <c r="D22" s="9"/>
      <c r="E22" s="37"/>
      <c r="F22" s="19">
        <f t="shared" si="1"/>
        <v>0</v>
      </c>
      <c r="G22" s="10"/>
    </row>
    <row r="23" spans="1:7" ht="15" customHeight="1" x14ac:dyDescent="0.2">
      <c r="A23" s="2" t="str">
        <f t="shared" si="0"/>
        <v>Dienstag</v>
      </c>
      <c r="B23" s="14">
        <f t="shared" si="2"/>
        <v>45678</v>
      </c>
      <c r="C23" s="20"/>
      <c r="D23" s="11"/>
      <c r="E23" s="38"/>
      <c r="F23" s="21">
        <f t="shared" si="1"/>
        <v>0</v>
      </c>
      <c r="G23" s="5"/>
    </row>
    <row r="24" spans="1:7" ht="15" customHeight="1" x14ac:dyDescent="0.2">
      <c r="A24" s="7" t="str">
        <f t="shared" si="0"/>
        <v>Mittwoch</v>
      </c>
      <c r="B24" s="13">
        <f t="shared" si="2"/>
        <v>45679</v>
      </c>
      <c r="C24" s="18"/>
      <c r="D24" s="9"/>
      <c r="E24" s="37"/>
      <c r="F24" s="19">
        <f t="shared" si="1"/>
        <v>0</v>
      </c>
      <c r="G24" s="10"/>
    </row>
    <row r="25" spans="1:7" ht="15" customHeight="1" x14ac:dyDescent="0.2">
      <c r="A25" s="2" t="str">
        <f t="shared" si="0"/>
        <v>Donnerstag</v>
      </c>
      <c r="B25" s="14">
        <f t="shared" si="2"/>
        <v>45680</v>
      </c>
      <c r="C25" s="20"/>
      <c r="D25" s="11"/>
      <c r="E25" s="38"/>
      <c r="F25" s="21">
        <f t="shared" si="1"/>
        <v>0</v>
      </c>
      <c r="G25" s="5"/>
    </row>
    <row r="26" spans="1:7" ht="15" customHeight="1" x14ac:dyDescent="0.2">
      <c r="A26" s="7" t="str">
        <f t="shared" si="0"/>
        <v>Freitag</v>
      </c>
      <c r="B26" s="13">
        <f t="shared" si="2"/>
        <v>45681</v>
      </c>
      <c r="C26" s="18"/>
      <c r="D26" s="9"/>
      <c r="E26" s="37"/>
      <c r="F26" s="19">
        <f t="shared" si="1"/>
        <v>0</v>
      </c>
      <c r="G26" s="10"/>
    </row>
    <row r="27" spans="1:7" ht="15" customHeight="1" x14ac:dyDescent="0.2">
      <c r="A27" s="2" t="str">
        <f t="shared" si="0"/>
        <v>Samstag</v>
      </c>
      <c r="B27" s="14">
        <f t="shared" si="2"/>
        <v>45682</v>
      </c>
      <c r="C27" s="20"/>
      <c r="D27" s="11"/>
      <c r="E27" s="38"/>
      <c r="F27" s="21">
        <f t="shared" si="1"/>
        <v>0</v>
      </c>
      <c r="G27" s="5"/>
    </row>
    <row r="28" spans="1:7" ht="15" customHeight="1" x14ac:dyDescent="0.2">
      <c r="A28" s="7" t="str">
        <f t="shared" si="0"/>
        <v>Sonntag</v>
      </c>
      <c r="B28" s="13">
        <f t="shared" si="2"/>
        <v>45683</v>
      </c>
      <c r="C28" s="18"/>
      <c r="D28" s="9"/>
      <c r="E28" s="37"/>
      <c r="F28" s="19">
        <f t="shared" si="1"/>
        <v>0</v>
      </c>
      <c r="G28" s="10"/>
    </row>
    <row r="29" spans="1:7" ht="15" customHeight="1" x14ac:dyDescent="0.2">
      <c r="A29" s="2" t="str">
        <f t="shared" si="0"/>
        <v>Montag</v>
      </c>
      <c r="B29" s="14">
        <f t="shared" si="2"/>
        <v>45684</v>
      </c>
      <c r="C29" s="20"/>
      <c r="D29" s="11"/>
      <c r="E29" s="38"/>
      <c r="F29" s="21">
        <f t="shared" si="1"/>
        <v>0</v>
      </c>
      <c r="G29" s="5"/>
    </row>
    <row r="30" spans="1:7" ht="15" customHeight="1" x14ac:dyDescent="0.2">
      <c r="A30" s="7" t="str">
        <f t="shared" si="0"/>
        <v>Dienstag</v>
      </c>
      <c r="B30" s="13">
        <f t="shared" si="2"/>
        <v>45685</v>
      </c>
      <c r="C30" s="18"/>
      <c r="D30" s="9"/>
      <c r="E30" s="37"/>
      <c r="F30" s="19">
        <f t="shared" si="1"/>
        <v>0</v>
      </c>
      <c r="G30" s="10"/>
    </row>
    <row r="31" spans="1:7" ht="15" customHeight="1" x14ac:dyDescent="0.2">
      <c r="A31" s="2" t="str">
        <f t="shared" si="0"/>
        <v>Mittwoch</v>
      </c>
      <c r="B31" s="14">
        <f t="shared" si="2"/>
        <v>45686</v>
      </c>
      <c r="C31" s="20"/>
      <c r="D31" s="11"/>
      <c r="E31" s="38"/>
      <c r="F31" s="21">
        <f t="shared" si="1"/>
        <v>0</v>
      </c>
      <c r="G31" s="5"/>
    </row>
    <row r="32" spans="1:7" ht="15" customHeight="1" x14ac:dyDescent="0.2">
      <c r="A32" s="7" t="str">
        <f t="shared" si="0"/>
        <v>Donnerstag</v>
      </c>
      <c r="B32" s="13">
        <f t="shared" si="2"/>
        <v>45687</v>
      </c>
      <c r="C32" s="18"/>
      <c r="D32" s="9"/>
      <c r="E32" s="37"/>
      <c r="F32" s="19">
        <f t="shared" si="1"/>
        <v>0</v>
      </c>
      <c r="G32" s="10"/>
    </row>
    <row r="33" spans="1:7" ht="15" customHeight="1" x14ac:dyDescent="0.2">
      <c r="A33" s="22" t="str">
        <f t="shared" si="0"/>
        <v>Freitag</v>
      </c>
      <c r="B33" s="23">
        <f t="shared" si="2"/>
        <v>45688</v>
      </c>
      <c r="C33" s="24"/>
      <c r="D33" s="25"/>
      <c r="E33" s="39"/>
      <c r="F33" s="26">
        <f t="shared" si="1"/>
        <v>0</v>
      </c>
      <c r="G33" s="3"/>
    </row>
    <row r="34" spans="1:7" ht="15" x14ac:dyDescent="0.2">
      <c r="D34" s="54" t="s">
        <v>14</v>
      </c>
      <c r="E34" s="55"/>
      <c r="F34" s="34">
        <f>SUMIF(G3:G33,"X",F3:F33)</f>
        <v>0</v>
      </c>
    </row>
    <row r="35" spans="1:7" ht="15" x14ac:dyDescent="0.2">
      <c r="D35" s="54" t="s">
        <v>15</v>
      </c>
      <c r="E35" s="55"/>
      <c r="F35" s="34">
        <f>SUMIF(G3:G33,"",F3:F33)</f>
        <v>0</v>
      </c>
    </row>
  </sheetData>
  <mergeCells count="7">
    <mergeCell ref="G1:G2"/>
    <mergeCell ref="D34:E34"/>
    <mergeCell ref="D35:E35"/>
    <mergeCell ref="A1:A2"/>
    <mergeCell ref="B1:B2"/>
    <mergeCell ref="C1:E1"/>
    <mergeCell ref="F1:F2"/>
  </mergeCells>
  <conditionalFormatting sqref="A3:A33">
    <cfRule type="containsText" dxfId="23" priority="1" operator="containsText" text="Sonntag">
      <formula>NOT(ISERROR(SEARCH("Sonntag",A3)))</formula>
    </cfRule>
    <cfRule type="containsText" dxfId="22" priority="2" operator="containsText" text="Samstag">
      <formula>NOT(ISERROR(SEARCH("Samstag",A3)))</formula>
    </cfRule>
  </conditionalFormatting>
  <pageMargins left="0.7" right="0.7" top="0.78740157499999996" bottom="0.78740157499999996" header="0.3" footer="0.3"/>
  <pageSetup paperSize="9" scale="99" orientation="portrait" r:id="rId1"/>
  <headerFooter>
    <oddHeader>&amp;CJanuar 2025</oddHeader>
    <oddFooter>&amp;R&amp;8Andreas Fischer | Wehleweg 4/ Top 43| 1030 Wien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C641A-0822-46D3-B7CA-4AC8334CBB77}">
  <sheetPr codeName="Tabelle3">
    <pageSetUpPr fitToPage="1"/>
  </sheetPr>
  <dimension ref="A1:G35"/>
  <sheetViews>
    <sheetView view="pageLayout" zoomScaleNormal="100" workbookViewId="0">
      <selection activeCell="C3" sqref="C3"/>
    </sheetView>
  </sheetViews>
  <sheetFormatPr baseColWidth="10" defaultRowHeight="14.25" x14ac:dyDescent="0.2"/>
  <cols>
    <col min="1" max="1" width="15.375" bestFit="1" customWidth="1"/>
    <col min="8" max="8" width="12.625" customWidth="1"/>
  </cols>
  <sheetData>
    <row r="1" spans="1:7" ht="15" customHeight="1" x14ac:dyDescent="0.2">
      <c r="A1" s="56" t="s">
        <v>0</v>
      </c>
      <c r="B1" s="58" t="s">
        <v>1</v>
      </c>
      <c r="C1" s="60" t="s">
        <v>4</v>
      </c>
      <c r="D1" s="61"/>
      <c r="E1" s="61"/>
      <c r="F1" s="62" t="s">
        <v>7</v>
      </c>
      <c r="G1" s="52" t="s">
        <v>8</v>
      </c>
    </row>
    <row r="2" spans="1:7" ht="15" customHeight="1" x14ac:dyDescent="0.2">
      <c r="A2" s="57"/>
      <c r="B2" s="59"/>
      <c r="C2" s="15" t="s">
        <v>2</v>
      </c>
      <c r="D2" s="6" t="s">
        <v>3</v>
      </c>
      <c r="E2" s="35" t="s">
        <v>5</v>
      </c>
      <c r="F2" s="63"/>
      <c r="G2" s="53"/>
    </row>
    <row r="3" spans="1:7" ht="15" customHeight="1" x14ac:dyDescent="0.2">
      <c r="A3" s="1" t="str">
        <f>TEXT(B3,"TTTT")</f>
        <v>Samstag</v>
      </c>
      <c r="B3" s="12">
        <v>45689</v>
      </c>
      <c r="C3" s="40"/>
      <c r="D3" s="41"/>
      <c r="E3" s="36"/>
      <c r="F3" s="17">
        <f>((D3-C3)*24)-E3</f>
        <v>0</v>
      </c>
      <c r="G3" s="4"/>
    </row>
    <row r="4" spans="1:7" ht="15" customHeight="1" x14ac:dyDescent="0.2">
      <c r="A4" s="7" t="str">
        <f t="shared" ref="A4:A30" si="0">TEXT(B4,"TTTT")</f>
        <v>Sonntag</v>
      </c>
      <c r="B4" s="13">
        <f>B3+1</f>
        <v>45690</v>
      </c>
      <c r="C4" s="18"/>
      <c r="D4" s="9"/>
      <c r="E4" s="37"/>
      <c r="F4" s="19">
        <f t="shared" ref="F4:F30" si="1">((D4-C4)*24)-E4</f>
        <v>0</v>
      </c>
      <c r="G4" s="10"/>
    </row>
    <row r="5" spans="1:7" ht="15" customHeight="1" x14ac:dyDescent="0.2">
      <c r="A5" s="2" t="str">
        <f t="shared" si="0"/>
        <v>Montag</v>
      </c>
      <c r="B5" s="14">
        <f t="shared" ref="B5:B30" si="2">B4+1</f>
        <v>45691</v>
      </c>
      <c r="C5" s="20"/>
      <c r="D5" s="11"/>
      <c r="E5" s="38"/>
      <c r="F5" s="21">
        <f t="shared" si="1"/>
        <v>0</v>
      </c>
      <c r="G5" s="5"/>
    </row>
    <row r="6" spans="1:7" ht="15" customHeight="1" x14ac:dyDescent="0.2">
      <c r="A6" s="7" t="str">
        <f t="shared" si="0"/>
        <v>Dienstag</v>
      </c>
      <c r="B6" s="13">
        <f t="shared" si="2"/>
        <v>45692</v>
      </c>
      <c r="C6" s="18"/>
      <c r="D6" s="9"/>
      <c r="E6" s="37"/>
      <c r="F6" s="19">
        <f t="shared" si="1"/>
        <v>0</v>
      </c>
      <c r="G6" s="10"/>
    </row>
    <row r="7" spans="1:7" ht="15" customHeight="1" x14ac:dyDescent="0.2">
      <c r="A7" s="2" t="str">
        <f t="shared" si="0"/>
        <v>Mittwoch</v>
      </c>
      <c r="B7" s="14">
        <f t="shared" si="2"/>
        <v>45693</v>
      </c>
      <c r="C7" s="20"/>
      <c r="D7" s="11"/>
      <c r="E7" s="38"/>
      <c r="F7" s="21">
        <f t="shared" si="1"/>
        <v>0</v>
      </c>
      <c r="G7" s="5"/>
    </row>
    <row r="8" spans="1:7" ht="15" customHeight="1" x14ac:dyDescent="0.2">
      <c r="A8" s="7" t="str">
        <f t="shared" si="0"/>
        <v>Donnerstag</v>
      </c>
      <c r="B8" s="13">
        <f t="shared" si="2"/>
        <v>45694</v>
      </c>
      <c r="C8" s="18"/>
      <c r="D8" s="9"/>
      <c r="E8" s="37"/>
      <c r="F8" s="19">
        <f t="shared" si="1"/>
        <v>0</v>
      </c>
      <c r="G8" s="10"/>
    </row>
    <row r="9" spans="1:7" ht="15" customHeight="1" x14ac:dyDescent="0.2">
      <c r="A9" s="2" t="str">
        <f t="shared" si="0"/>
        <v>Freitag</v>
      </c>
      <c r="B9" s="14">
        <f t="shared" si="2"/>
        <v>45695</v>
      </c>
      <c r="C9" s="20"/>
      <c r="D9" s="11"/>
      <c r="E9" s="38"/>
      <c r="F9" s="21">
        <f t="shared" si="1"/>
        <v>0</v>
      </c>
      <c r="G9" s="5"/>
    </row>
    <row r="10" spans="1:7" ht="15" customHeight="1" x14ac:dyDescent="0.2">
      <c r="A10" s="7" t="str">
        <f t="shared" si="0"/>
        <v>Samstag</v>
      </c>
      <c r="B10" s="13">
        <f t="shared" si="2"/>
        <v>45696</v>
      </c>
      <c r="C10" s="18"/>
      <c r="D10" s="9"/>
      <c r="E10" s="37"/>
      <c r="F10" s="19">
        <f t="shared" si="1"/>
        <v>0</v>
      </c>
      <c r="G10" s="10"/>
    </row>
    <row r="11" spans="1:7" ht="15" customHeight="1" x14ac:dyDescent="0.2">
      <c r="A11" s="2" t="str">
        <f t="shared" si="0"/>
        <v>Sonntag</v>
      </c>
      <c r="B11" s="14">
        <f t="shared" si="2"/>
        <v>45697</v>
      </c>
      <c r="C11" s="20"/>
      <c r="D11" s="11"/>
      <c r="E11" s="38"/>
      <c r="F11" s="21">
        <f t="shared" si="1"/>
        <v>0</v>
      </c>
      <c r="G11" s="5"/>
    </row>
    <row r="12" spans="1:7" ht="15" customHeight="1" x14ac:dyDescent="0.2">
      <c r="A12" s="7" t="str">
        <f t="shared" si="0"/>
        <v>Montag</v>
      </c>
      <c r="B12" s="13">
        <f t="shared" si="2"/>
        <v>45698</v>
      </c>
      <c r="C12" s="18"/>
      <c r="D12" s="9"/>
      <c r="E12" s="37"/>
      <c r="F12" s="19">
        <f t="shared" si="1"/>
        <v>0</v>
      </c>
      <c r="G12" s="10"/>
    </row>
    <row r="13" spans="1:7" ht="15" customHeight="1" x14ac:dyDescent="0.2">
      <c r="A13" s="2" t="str">
        <f t="shared" si="0"/>
        <v>Dienstag</v>
      </c>
      <c r="B13" s="14">
        <f t="shared" si="2"/>
        <v>45699</v>
      </c>
      <c r="C13" s="20"/>
      <c r="D13" s="11"/>
      <c r="E13" s="38"/>
      <c r="F13" s="21">
        <f t="shared" si="1"/>
        <v>0</v>
      </c>
      <c r="G13" s="5"/>
    </row>
    <row r="14" spans="1:7" ht="15" customHeight="1" x14ac:dyDescent="0.2">
      <c r="A14" s="7" t="str">
        <f t="shared" si="0"/>
        <v>Mittwoch</v>
      </c>
      <c r="B14" s="13">
        <f t="shared" si="2"/>
        <v>45700</v>
      </c>
      <c r="C14" s="18"/>
      <c r="D14" s="9"/>
      <c r="E14" s="37"/>
      <c r="F14" s="19">
        <f t="shared" si="1"/>
        <v>0</v>
      </c>
      <c r="G14" s="10"/>
    </row>
    <row r="15" spans="1:7" ht="15" customHeight="1" x14ac:dyDescent="0.2">
      <c r="A15" s="2" t="str">
        <f t="shared" si="0"/>
        <v>Donnerstag</v>
      </c>
      <c r="B15" s="14">
        <f t="shared" si="2"/>
        <v>45701</v>
      </c>
      <c r="C15" s="20"/>
      <c r="D15" s="11"/>
      <c r="E15" s="38"/>
      <c r="F15" s="21">
        <f t="shared" si="1"/>
        <v>0</v>
      </c>
      <c r="G15" s="5"/>
    </row>
    <row r="16" spans="1:7" ht="15" customHeight="1" x14ac:dyDescent="0.2">
      <c r="A16" s="7" t="str">
        <f t="shared" si="0"/>
        <v>Freitag</v>
      </c>
      <c r="B16" s="13">
        <f t="shared" si="2"/>
        <v>45702</v>
      </c>
      <c r="C16" s="18"/>
      <c r="D16" s="9"/>
      <c r="E16" s="37"/>
      <c r="F16" s="19">
        <f t="shared" si="1"/>
        <v>0</v>
      </c>
      <c r="G16" s="10"/>
    </row>
    <row r="17" spans="1:7" ht="15" customHeight="1" x14ac:dyDescent="0.2">
      <c r="A17" s="2" t="str">
        <f t="shared" si="0"/>
        <v>Samstag</v>
      </c>
      <c r="B17" s="14">
        <f t="shared" si="2"/>
        <v>45703</v>
      </c>
      <c r="C17" s="20"/>
      <c r="D17" s="11"/>
      <c r="E17" s="38"/>
      <c r="F17" s="21">
        <f t="shared" si="1"/>
        <v>0</v>
      </c>
      <c r="G17" s="5"/>
    </row>
    <row r="18" spans="1:7" ht="15" customHeight="1" x14ac:dyDescent="0.2">
      <c r="A18" s="7" t="str">
        <f t="shared" si="0"/>
        <v>Sonntag</v>
      </c>
      <c r="B18" s="13">
        <f t="shared" si="2"/>
        <v>45704</v>
      </c>
      <c r="C18" s="18"/>
      <c r="D18" s="9"/>
      <c r="E18" s="37"/>
      <c r="F18" s="19">
        <f t="shared" si="1"/>
        <v>0</v>
      </c>
      <c r="G18" s="10"/>
    </row>
    <row r="19" spans="1:7" ht="15" customHeight="1" x14ac:dyDescent="0.2">
      <c r="A19" s="2" t="str">
        <f t="shared" si="0"/>
        <v>Montag</v>
      </c>
      <c r="B19" s="14">
        <f t="shared" si="2"/>
        <v>45705</v>
      </c>
      <c r="C19" s="20"/>
      <c r="D19" s="11"/>
      <c r="E19" s="38"/>
      <c r="F19" s="21">
        <f t="shared" si="1"/>
        <v>0</v>
      </c>
      <c r="G19" s="5"/>
    </row>
    <row r="20" spans="1:7" ht="15" customHeight="1" x14ac:dyDescent="0.2">
      <c r="A20" s="7" t="str">
        <f t="shared" si="0"/>
        <v>Dienstag</v>
      </c>
      <c r="B20" s="13">
        <f t="shared" si="2"/>
        <v>45706</v>
      </c>
      <c r="C20" s="18"/>
      <c r="D20" s="9"/>
      <c r="E20" s="37"/>
      <c r="F20" s="19">
        <f t="shared" si="1"/>
        <v>0</v>
      </c>
      <c r="G20" s="10"/>
    </row>
    <row r="21" spans="1:7" ht="15" customHeight="1" x14ac:dyDescent="0.2">
      <c r="A21" s="2" t="str">
        <f t="shared" si="0"/>
        <v>Mittwoch</v>
      </c>
      <c r="B21" s="14">
        <f t="shared" si="2"/>
        <v>45707</v>
      </c>
      <c r="C21" s="20"/>
      <c r="D21" s="11"/>
      <c r="E21" s="38"/>
      <c r="F21" s="21">
        <f t="shared" si="1"/>
        <v>0</v>
      </c>
      <c r="G21" s="5"/>
    </row>
    <row r="22" spans="1:7" ht="15" customHeight="1" x14ac:dyDescent="0.2">
      <c r="A22" s="7" t="str">
        <f t="shared" si="0"/>
        <v>Donnerstag</v>
      </c>
      <c r="B22" s="13">
        <f t="shared" si="2"/>
        <v>45708</v>
      </c>
      <c r="C22" s="18"/>
      <c r="D22" s="9"/>
      <c r="E22" s="37"/>
      <c r="F22" s="19">
        <f t="shared" si="1"/>
        <v>0</v>
      </c>
      <c r="G22" s="10"/>
    </row>
    <row r="23" spans="1:7" ht="15" customHeight="1" x14ac:dyDescent="0.2">
      <c r="A23" s="2" t="str">
        <f t="shared" si="0"/>
        <v>Freitag</v>
      </c>
      <c r="B23" s="14">
        <f t="shared" si="2"/>
        <v>45709</v>
      </c>
      <c r="C23" s="20"/>
      <c r="D23" s="11"/>
      <c r="E23" s="38"/>
      <c r="F23" s="21">
        <f t="shared" si="1"/>
        <v>0</v>
      </c>
      <c r="G23" s="5"/>
    </row>
    <row r="24" spans="1:7" ht="15" customHeight="1" x14ac:dyDescent="0.2">
      <c r="A24" s="7" t="str">
        <f t="shared" si="0"/>
        <v>Samstag</v>
      </c>
      <c r="B24" s="13">
        <f t="shared" si="2"/>
        <v>45710</v>
      </c>
      <c r="C24" s="18"/>
      <c r="D24" s="9"/>
      <c r="E24" s="37"/>
      <c r="F24" s="19">
        <f t="shared" si="1"/>
        <v>0</v>
      </c>
      <c r="G24" s="10"/>
    </row>
    <row r="25" spans="1:7" ht="15" customHeight="1" x14ac:dyDescent="0.2">
      <c r="A25" s="2" t="str">
        <f t="shared" si="0"/>
        <v>Sonntag</v>
      </c>
      <c r="B25" s="14">
        <f t="shared" si="2"/>
        <v>45711</v>
      </c>
      <c r="C25" s="20"/>
      <c r="D25" s="11"/>
      <c r="E25" s="38"/>
      <c r="F25" s="21">
        <f t="shared" si="1"/>
        <v>0</v>
      </c>
      <c r="G25" s="5"/>
    </row>
    <row r="26" spans="1:7" ht="15" customHeight="1" x14ac:dyDescent="0.2">
      <c r="A26" s="7" t="str">
        <f t="shared" si="0"/>
        <v>Montag</v>
      </c>
      <c r="B26" s="13">
        <f t="shared" si="2"/>
        <v>45712</v>
      </c>
      <c r="C26" s="18"/>
      <c r="D26" s="9"/>
      <c r="E26" s="37"/>
      <c r="F26" s="19">
        <f t="shared" si="1"/>
        <v>0</v>
      </c>
      <c r="G26" s="10"/>
    </row>
    <row r="27" spans="1:7" ht="15" customHeight="1" x14ac:dyDescent="0.2">
      <c r="A27" s="2" t="str">
        <f t="shared" si="0"/>
        <v>Dienstag</v>
      </c>
      <c r="B27" s="14">
        <f t="shared" si="2"/>
        <v>45713</v>
      </c>
      <c r="C27" s="20"/>
      <c r="D27" s="11"/>
      <c r="E27" s="38"/>
      <c r="F27" s="21">
        <f t="shared" si="1"/>
        <v>0</v>
      </c>
      <c r="G27" s="5"/>
    </row>
    <row r="28" spans="1:7" ht="15" customHeight="1" x14ac:dyDescent="0.2">
      <c r="A28" s="7" t="str">
        <f t="shared" si="0"/>
        <v>Mittwoch</v>
      </c>
      <c r="B28" s="13">
        <f t="shared" si="2"/>
        <v>45714</v>
      </c>
      <c r="C28" s="18"/>
      <c r="D28" s="9"/>
      <c r="E28" s="37"/>
      <c r="F28" s="19">
        <f t="shared" si="1"/>
        <v>0</v>
      </c>
      <c r="G28" s="10"/>
    </row>
    <row r="29" spans="1:7" ht="15" customHeight="1" x14ac:dyDescent="0.2">
      <c r="A29" s="2" t="str">
        <f t="shared" si="0"/>
        <v>Donnerstag</v>
      </c>
      <c r="B29" s="14">
        <f t="shared" si="2"/>
        <v>45715</v>
      </c>
      <c r="C29" s="20"/>
      <c r="D29" s="11"/>
      <c r="E29" s="38"/>
      <c r="F29" s="21">
        <f t="shared" si="1"/>
        <v>0</v>
      </c>
      <c r="G29" s="5"/>
    </row>
    <row r="30" spans="1:7" ht="15" customHeight="1" x14ac:dyDescent="0.2">
      <c r="A30" s="7" t="str">
        <f t="shared" si="0"/>
        <v>Freitag</v>
      </c>
      <c r="B30" s="13">
        <f t="shared" si="2"/>
        <v>45716</v>
      </c>
      <c r="C30" s="18"/>
      <c r="D30" s="9"/>
      <c r="E30" s="37"/>
      <c r="F30" s="19">
        <f t="shared" si="1"/>
        <v>0</v>
      </c>
      <c r="G30" s="10"/>
    </row>
    <row r="31" spans="1:7" ht="15" customHeight="1" x14ac:dyDescent="0.2">
      <c r="A31" s="2"/>
      <c r="B31" s="14"/>
      <c r="C31" s="20"/>
      <c r="D31" s="11"/>
      <c r="E31" s="38"/>
      <c r="F31" s="21"/>
      <c r="G31" s="5"/>
    </row>
    <row r="32" spans="1:7" ht="15" customHeight="1" x14ac:dyDescent="0.2">
      <c r="A32" s="7"/>
      <c r="B32" s="13"/>
      <c r="C32" s="18"/>
      <c r="D32" s="9"/>
      <c r="E32" s="37"/>
      <c r="F32" s="19"/>
      <c r="G32" s="10"/>
    </row>
    <row r="33" spans="1:7" ht="15" customHeight="1" x14ac:dyDescent="0.2">
      <c r="A33" s="22"/>
      <c r="B33" s="23"/>
      <c r="C33" s="24"/>
      <c r="D33" s="25"/>
      <c r="E33" s="39"/>
      <c r="F33" s="26"/>
      <c r="G33" s="3"/>
    </row>
    <row r="34" spans="1:7" ht="15" x14ac:dyDescent="0.2">
      <c r="D34" s="54" t="s">
        <v>14</v>
      </c>
      <c r="E34" s="55"/>
      <c r="F34" s="34">
        <f>SUMIF(G3:G33,"X",F3:F33)</f>
        <v>0</v>
      </c>
    </row>
    <row r="35" spans="1:7" ht="15" x14ac:dyDescent="0.2">
      <c r="D35" s="54" t="s">
        <v>15</v>
      </c>
      <c r="E35" s="55"/>
      <c r="F35" s="34">
        <f>SUMIF(G3:G33,"",F3:F33)</f>
        <v>0</v>
      </c>
    </row>
  </sheetData>
  <mergeCells count="7">
    <mergeCell ref="G1:G2"/>
    <mergeCell ref="D34:E34"/>
    <mergeCell ref="D35:E35"/>
    <mergeCell ref="A1:A2"/>
    <mergeCell ref="B1:B2"/>
    <mergeCell ref="C1:E1"/>
    <mergeCell ref="F1:F2"/>
  </mergeCells>
  <conditionalFormatting sqref="A3:A33">
    <cfRule type="containsText" dxfId="21" priority="1" operator="containsText" text="Sonntag">
      <formula>NOT(ISERROR(SEARCH("Sonntag",A3)))</formula>
    </cfRule>
    <cfRule type="containsText" dxfId="20" priority="2" operator="containsText" text="Samstag">
      <formula>NOT(ISERROR(SEARCH("Samstag",A3)))</formula>
    </cfRule>
  </conditionalFormatting>
  <pageMargins left="0.7" right="0.7" top="0.78740157499999996" bottom="0.78740157499999996" header="0.3" footer="0.3"/>
  <pageSetup paperSize="9" scale="99" orientation="portrait" r:id="rId1"/>
  <headerFooter>
    <oddHeader>&amp;CFebruar 2025</oddHeader>
    <oddFooter>&amp;R&amp;8Andreas Fischer | Wehleweg 4/ Top 43| 1030 Wien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E3E59-24DC-4C55-9103-48D46E8715DF}">
  <sheetPr codeName="Tabelle4">
    <pageSetUpPr fitToPage="1"/>
  </sheetPr>
  <dimension ref="A1:G35"/>
  <sheetViews>
    <sheetView view="pageLayout" zoomScaleNormal="100" workbookViewId="0">
      <selection activeCell="C3" sqref="C3"/>
    </sheetView>
  </sheetViews>
  <sheetFormatPr baseColWidth="10" defaultRowHeight="14.25" x14ac:dyDescent="0.2"/>
  <cols>
    <col min="1" max="1" width="15.375" bestFit="1" customWidth="1"/>
    <col min="8" max="8" width="12.625" customWidth="1"/>
  </cols>
  <sheetData>
    <row r="1" spans="1:7" ht="15" customHeight="1" x14ac:dyDescent="0.2">
      <c r="A1" s="56" t="s">
        <v>0</v>
      </c>
      <c r="B1" s="58" t="s">
        <v>1</v>
      </c>
      <c r="C1" s="60" t="s">
        <v>4</v>
      </c>
      <c r="D1" s="61"/>
      <c r="E1" s="61"/>
      <c r="F1" s="62" t="s">
        <v>7</v>
      </c>
      <c r="G1" s="52" t="s">
        <v>8</v>
      </c>
    </row>
    <row r="2" spans="1:7" ht="15" customHeight="1" x14ac:dyDescent="0.2">
      <c r="A2" s="57"/>
      <c r="B2" s="59"/>
      <c r="C2" s="15" t="s">
        <v>2</v>
      </c>
      <c r="D2" s="6" t="s">
        <v>3</v>
      </c>
      <c r="E2" s="35" t="s">
        <v>5</v>
      </c>
      <c r="F2" s="63"/>
      <c r="G2" s="53"/>
    </row>
    <row r="3" spans="1:7" ht="15" customHeight="1" x14ac:dyDescent="0.2">
      <c r="A3" s="1" t="str">
        <f>TEXT(B3,"TTTT")</f>
        <v>Samstag</v>
      </c>
      <c r="B3" s="12">
        <v>45717</v>
      </c>
      <c r="C3" s="40"/>
      <c r="D3" s="41"/>
      <c r="E3" s="36"/>
      <c r="F3" s="17">
        <f>((D3-C3)*24)-E3</f>
        <v>0</v>
      </c>
      <c r="G3" s="4"/>
    </row>
    <row r="4" spans="1:7" ht="15" customHeight="1" x14ac:dyDescent="0.2">
      <c r="A4" s="7" t="str">
        <f t="shared" ref="A4:A33" si="0">TEXT(B4,"TTTT")</f>
        <v>Sonntag</v>
      </c>
      <c r="B4" s="13">
        <f>B3+1</f>
        <v>45718</v>
      </c>
      <c r="C4" s="18"/>
      <c r="D4" s="9"/>
      <c r="E4" s="37"/>
      <c r="F4" s="19">
        <f t="shared" ref="F4:F33" si="1">((D4-C4)*24)-E4</f>
        <v>0</v>
      </c>
      <c r="G4" s="10"/>
    </row>
    <row r="5" spans="1:7" ht="15" customHeight="1" x14ac:dyDescent="0.2">
      <c r="A5" s="2" t="str">
        <f t="shared" si="0"/>
        <v>Montag</v>
      </c>
      <c r="B5" s="14">
        <f t="shared" ref="B5:B33" si="2">B4+1</f>
        <v>45719</v>
      </c>
      <c r="C5" s="20"/>
      <c r="D5" s="11"/>
      <c r="E5" s="38"/>
      <c r="F5" s="21">
        <f t="shared" si="1"/>
        <v>0</v>
      </c>
      <c r="G5" s="5"/>
    </row>
    <row r="6" spans="1:7" ht="15" customHeight="1" x14ac:dyDescent="0.2">
      <c r="A6" s="7" t="str">
        <f t="shared" si="0"/>
        <v>Dienstag</v>
      </c>
      <c r="B6" s="13">
        <f t="shared" si="2"/>
        <v>45720</v>
      </c>
      <c r="C6" s="18"/>
      <c r="D6" s="9"/>
      <c r="E6" s="37"/>
      <c r="F6" s="19">
        <f t="shared" si="1"/>
        <v>0</v>
      </c>
      <c r="G6" s="10"/>
    </row>
    <row r="7" spans="1:7" ht="15" customHeight="1" x14ac:dyDescent="0.2">
      <c r="A7" s="2" t="str">
        <f t="shared" si="0"/>
        <v>Mittwoch</v>
      </c>
      <c r="B7" s="14">
        <f t="shared" si="2"/>
        <v>45721</v>
      </c>
      <c r="C7" s="20"/>
      <c r="D7" s="11"/>
      <c r="E7" s="38"/>
      <c r="F7" s="21">
        <f t="shared" si="1"/>
        <v>0</v>
      </c>
      <c r="G7" s="5"/>
    </row>
    <row r="8" spans="1:7" ht="15" customHeight="1" x14ac:dyDescent="0.2">
      <c r="A8" s="7" t="str">
        <f t="shared" si="0"/>
        <v>Donnerstag</v>
      </c>
      <c r="B8" s="13">
        <f t="shared" si="2"/>
        <v>45722</v>
      </c>
      <c r="C8" s="18"/>
      <c r="D8" s="9"/>
      <c r="E8" s="37"/>
      <c r="F8" s="19">
        <f t="shared" si="1"/>
        <v>0</v>
      </c>
      <c r="G8" s="10"/>
    </row>
    <row r="9" spans="1:7" ht="15" customHeight="1" x14ac:dyDescent="0.2">
      <c r="A9" s="2" t="str">
        <f t="shared" si="0"/>
        <v>Freitag</v>
      </c>
      <c r="B9" s="14">
        <f t="shared" si="2"/>
        <v>45723</v>
      </c>
      <c r="C9" s="20"/>
      <c r="D9" s="11"/>
      <c r="E9" s="38"/>
      <c r="F9" s="21">
        <f t="shared" si="1"/>
        <v>0</v>
      </c>
      <c r="G9" s="5"/>
    </row>
    <row r="10" spans="1:7" ht="15" customHeight="1" x14ac:dyDescent="0.2">
      <c r="A10" s="7" t="str">
        <f t="shared" si="0"/>
        <v>Samstag</v>
      </c>
      <c r="B10" s="13">
        <f t="shared" si="2"/>
        <v>45724</v>
      </c>
      <c r="C10" s="18"/>
      <c r="D10" s="9"/>
      <c r="E10" s="37"/>
      <c r="F10" s="19">
        <f t="shared" si="1"/>
        <v>0</v>
      </c>
      <c r="G10" s="10"/>
    </row>
    <row r="11" spans="1:7" ht="15" customHeight="1" x14ac:dyDescent="0.2">
      <c r="A11" s="2" t="str">
        <f t="shared" si="0"/>
        <v>Sonntag</v>
      </c>
      <c r="B11" s="14">
        <f t="shared" si="2"/>
        <v>45725</v>
      </c>
      <c r="C11" s="20"/>
      <c r="D11" s="11"/>
      <c r="E11" s="38"/>
      <c r="F11" s="21">
        <f t="shared" si="1"/>
        <v>0</v>
      </c>
      <c r="G11" s="5"/>
    </row>
    <row r="12" spans="1:7" ht="15" customHeight="1" x14ac:dyDescent="0.2">
      <c r="A12" s="7" t="str">
        <f t="shared" si="0"/>
        <v>Montag</v>
      </c>
      <c r="B12" s="13">
        <f t="shared" si="2"/>
        <v>45726</v>
      </c>
      <c r="C12" s="18"/>
      <c r="D12" s="9"/>
      <c r="E12" s="37"/>
      <c r="F12" s="19">
        <f t="shared" si="1"/>
        <v>0</v>
      </c>
      <c r="G12" s="10"/>
    </row>
    <row r="13" spans="1:7" ht="15" customHeight="1" x14ac:dyDescent="0.2">
      <c r="A13" s="2" t="str">
        <f t="shared" si="0"/>
        <v>Dienstag</v>
      </c>
      <c r="B13" s="14">
        <f t="shared" si="2"/>
        <v>45727</v>
      </c>
      <c r="C13" s="20"/>
      <c r="D13" s="11"/>
      <c r="E13" s="38"/>
      <c r="F13" s="21">
        <f t="shared" si="1"/>
        <v>0</v>
      </c>
      <c r="G13" s="5"/>
    </row>
    <row r="14" spans="1:7" ht="15" customHeight="1" x14ac:dyDescent="0.2">
      <c r="A14" s="7" t="str">
        <f t="shared" si="0"/>
        <v>Mittwoch</v>
      </c>
      <c r="B14" s="13">
        <f t="shared" si="2"/>
        <v>45728</v>
      </c>
      <c r="C14" s="18"/>
      <c r="D14" s="9"/>
      <c r="E14" s="37"/>
      <c r="F14" s="19">
        <f t="shared" si="1"/>
        <v>0</v>
      </c>
      <c r="G14" s="10"/>
    </row>
    <row r="15" spans="1:7" ht="15" customHeight="1" x14ac:dyDescent="0.2">
      <c r="A15" s="2" t="str">
        <f t="shared" si="0"/>
        <v>Donnerstag</v>
      </c>
      <c r="B15" s="14">
        <f t="shared" si="2"/>
        <v>45729</v>
      </c>
      <c r="C15" s="20"/>
      <c r="D15" s="11"/>
      <c r="E15" s="38"/>
      <c r="F15" s="21">
        <f t="shared" si="1"/>
        <v>0</v>
      </c>
      <c r="G15" s="5"/>
    </row>
    <row r="16" spans="1:7" ht="15" customHeight="1" x14ac:dyDescent="0.2">
      <c r="A16" s="7" t="str">
        <f t="shared" si="0"/>
        <v>Freitag</v>
      </c>
      <c r="B16" s="13">
        <f t="shared" si="2"/>
        <v>45730</v>
      </c>
      <c r="C16" s="18"/>
      <c r="D16" s="9"/>
      <c r="E16" s="37"/>
      <c r="F16" s="19">
        <f t="shared" si="1"/>
        <v>0</v>
      </c>
      <c r="G16" s="10"/>
    </row>
    <row r="17" spans="1:7" ht="15" customHeight="1" x14ac:dyDescent="0.2">
      <c r="A17" s="2" t="str">
        <f t="shared" si="0"/>
        <v>Samstag</v>
      </c>
      <c r="B17" s="14">
        <f t="shared" si="2"/>
        <v>45731</v>
      </c>
      <c r="C17" s="20"/>
      <c r="D17" s="11"/>
      <c r="E17" s="38"/>
      <c r="F17" s="21">
        <f t="shared" si="1"/>
        <v>0</v>
      </c>
      <c r="G17" s="5"/>
    </row>
    <row r="18" spans="1:7" ht="15" customHeight="1" x14ac:dyDescent="0.2">
      <c r="A18" s="7" t="str">
        <f t="shared" si="0"/>
        <v>Sonntag</v>
      </c>
      <c r="B18" s="13">
        <f t="shared" si="2"/>
        <v>45732</v>
      </c>
      <c r="C18" s="18"/>
      <c r="D18" s="9"/>
      <c r="E18" s="37"/>
      <c r="F18" s="19">
        <f t="shared" si="1"/>
        <v>0</v>
      </c>
      <c r="G18" s="10"/>
    </row>
    <row r="19" spans="1:7" ht="15" customHeight="1" x14ac:dyDescent="0.2">
      <c r="A19" s="2" t="str">
        <f t="shared" si="0"/>
        <v>Montag</v>
      </c>
      <c r="B19" s="14">
        <f t="shared" si="2"/>
        <v>45733</v>
      </c>
      <c r="C19" s="20"/>
      <c r="D19" s="11"/>
      <c r="E19" s="38"/>
      <c r="F19" s="21">
        <f t="shared" si="1"/>
        <v>0</v>
      </c>
      <c r="G19" s="5"/>
    </row>
    <row r="20" spans="1:7" ht="15" customHeight="1" x14ac:dyDescent="0.2">
      <c r="A20" s="7" t="str">
        <f t="shared" si="0"/>
        <v>Dienstag</v>
      </c>
      <c r="B20" s="13">
        <f t="shared" si="2"/>
        <v>45734</v>
      </c>
      <c r="C20" s="18"/>
      <c r="D20" s="9"/>
      <c r="E20" s="37"/>
      <c r="F20" s="19">
        <f t="shared" si="1"/>
        <v>0</v>
      </c>
      <c r="G20" s="10"/>
    </row>
    <row r="21" spans="1:7" ht="15" customHeight="1" x14ac:dyDescent="0.2">
      <c r="A21" s="2" t="str">
        <f t="shared" si="0"/>
        <v>Mittwoch</v>
      </c>
      <c r="B21" s="14">
        <f t="shared" si="2"/>
        <v>45735</v>
      </c>
      <c r="C21" s="20"/>
      <c r="D21" s="11"/>
      <c r="E21" s="38"/>
      <c r="F21" s="21">
        <f t="shared" si="1"/>
        <v>0</v>
      </c>
      <c r="G21" s="5"/>
    </row>
    <row r="22" spans="1:7" ht="15" customHeight="1" x14ac:dyDescent="0.2">
      <c r="A22" s="7" t="str">
        <f t="shared" si="0"/>
        <v>Donnerstag</v>
      </c>
      <c r="B22" s="13">
        <f t="shared" si="2"/>
        <v>45736</v>
      </c>
      <c r="C22" s="18"/>
      <c r="D22" s="9"/>
      <c r="E22" s="37"/>
      <c r="F22" s="19">
        <f t="shared" si="1"/>
        <v>0</v>
      </c>
      <c r="G22" s="10"/>
    </row>
    <row r="23" spans="1:7" ht="15" customHeight="1" x14ac:dyDescent="0.2">
      <c r="A23" s="2" t="str">
        <f t="shared" si="0"/>
        <v>Freitag</v>
      </c>
      <c r="B23" s="14">
        <f t="shared" si="2"/>
        <v>45737</v>
      </c>
      <c r="C23" s="20"/>
      <c r="D23" s="11"/>
      <c r="E23" s="38"/>
      <c r="F23" s="21">
        <f t="shared" si="1"/>
        <v>0</v>
      </c>
      <c r="G23" s="5"/>
    </row>
    <row r="24" spans="1:7" ht="15" customHeight="1" x14ac:dyDescent="0.2">
      <c r="A24" s="7" t="str">
        <f t="shared" si="0"/>
        <v>Samstag</v>
      </c>
      <c r="B24" s="13">
        <f t="shared" si="2"/>
        <v>45738</v>
      </c>
      <c r="C24" s="18"/>
      <c r="D24" s="9"/>
      <c r="E24" s="37"/>
      <c r="F24" s="19">
        <f t="shared" si="1"/>
        <v>0</v>
      </c>
      <c r="G24" s="10"/>
    </row>
    <row r="25" spans="1:7" ht="15" customHeight="1" x14ac:dyDescent="0.2">
      <c r="A25" s="2" t="str">
        <f t="shared" si="0"/>
        <v>Sonntag</v>
      </c>
      <c r="B25" s="14">
        <f t="shared" si="2"/>
        <v>45739</v>
      </c>
      <c r="C25" s="20"/>
      <c r="D25" s="11"/>
      <c r="E25" s="38"/>
      <c r="F25" s="21">
        <f t="shared" si="1"/>
        <v>0</v>
      </c>
      <c r="G25" s="5"/>
    </row>
    <row r="26" spans="1:7" ht="15" customHeight="1" x14ac:dyDescent="0.2">
      <c r="A26" s="7" t="str">
        <f t="shared" si="0"/>
        <v>Montag</v>
      </c>
      <c r="B26" s="13">
        <f t="shared" si="2"/>
        <v>45740</v>
      </c>
      <c r="C26" s="18"/>
      <c r="D26" s="9"/>
      <c r="E26" s="37"/>
      <c r="F26" s="19">
        <f t="shared" si="1"/>
        <v>0</v>
      </c>
      <c r="G26" s="10"/>
    </row>
    <row r="27" spans="1:7" ht="15" customHeight="1" x14ac:dyDescent="0.2">
      <c r="A27" s="2" t="str">
        <f t="shared" si="0"/>
        <v>Dienstag</v>
      </c>
      <c r="B27" s="14">
        <f t="shared" si="2"/>
        <v>45741</v>
      </c>
      <c r="C27" s="20"/>
      <c r="D27" s="11"/>
      <c r="E27" s="38"/>
      <c r="F27" s="21">
        <f t="shared" si="1"/>
        <v>0</v>
      </c>
      <c r="G27" s="5"/>
    </row>
    <row r="28" spans="1:7" ht="15" customHeight="1" x14ac:dyDescent="0.2">
      <c r="A28" s="7" t="str">
        <f t="shared" si="0"/>
        <v>Mittwoch</v>
      </c>
      <c r="B28" s="13">
        <f t="shared" si="2"/>
        <v>45742</v>
      </c>
      <c r="C28" s="18"/>
      <c r="D28" s="9"/>
      <c r="E28" s="37"/>
      <c r="F28" s="19">
        <f t="shared" si="1"/>
        <v>0</v>
      </c>
      <c r="G28" s="10"/>
    </row>
    <row r="29" spans="1:7" ht="15" customHeight="1" x14ac:dyDescent="0.2">
      <c r="A29" s="2" t="str">
        <f t="shared" si="0"/>
        <v>Donnerstag</v>
      </c>
      <c r="B29" s="14">
        <f t="shared" si="2"/>
        <v>45743</v>
      </c>
      <c r="C29" s="20"/>
      <c r="D29" s="11"/>
      <c r="E29" s="38"/>
      <c r="F29" s="21">
        <f t="shared" si="1"/>
        <v>0</v>
      </c>
      <c r="G29" s="5"/>
    </row>
    <row r="30" spans="1:7" ht="15" customHeight="1" x14ac:dyDescent="0.2">
      <c r="A30" s="7" t="str">
        <f t="shared" si="0"/>
        <v>Freitag</v>
      </c>
      <c r="B30" s="13">
        <f t="shared" si="2"/>
        <v>45744</v>
      </c>
      <c r="C30" s="18"/>
      <c r="D30" s="9"/>
      <c r="E30" s="37"/>
      <c r="F30" s="19">
        <f t="shared" si="1"/>
        <v>0</v>
      </c>
      <c r="G30" s="10"/>
    </row>
    <row r="31" spans="1:7" ht="15" customHeight="1" x14ac:dyDescent="0.2">
      <c r="A31" s="2" t="str">
        <f t="shared" si="0"/>
        <v>Samstag</v>
      </c>
      <c r="B31" s="14">
        <f t="shared" si="2"/>
        <v>45745</v>
      </c>
      <c r="C31" s="20"/>
      <c r="D31" s="11"/>
      <c r="E31" s="38"/>
      <c r="F31" s="21">
        <f t="shared" si="1"/>
        <v>0</v>
      </c>
      <c r="G31" s="5"/>
    </row>
    <row r="32" spans="1:7" ht="15" customHeight="1" x14ac:dyDescent="0.2">
      <c r="A32" s="7" t="str">
        <f t="shared" si="0"/>
        <v>Sonntag</v>
      </c>
      <c r="B32" s="13">
        <f t="shared" si="2"/>
        <v>45746</v>
      </c>
      <c r="C32" s="18"/>
      <c r="D32" s="9"/>
      <c r="E32" s="37"/>
      <c r="F32" s="19">
        <f t="shared" si="1"/>
        <v>0</v>
      </c>
      <c r="G32" s="10"/>
    </row>
    <row r="33" spans="1:7" ht="15" customHeight="1" x14ac:dyDescent="0.2">
      <c r="A33" s="22" t="str">
        <f t="shared" si="0"/>
        <v>Montag</v>
      </c>
      <c r="B33" s="23">
        <f t="shared" si="2"/>
        <v>45747</v>
      </c>
      <c r="C33" s="24"/>
      <c r="D33" s="25"/>
      <c r="E33" s="39"/>
      <c r="F33" s="26">
        <f t="shared" si="1"/>
        <v>0</v>
      </c>
      <c r="G33" s="3"/>
    </row>
    <row r="34" spans="1:7" ht="15" x14ac:dyDescent="0.2">
      <c r="D34" s="54" t="s">
        <v>14</v>
      </c>
      <c r="E34" s="55"/>
      <c r="F34" s="34">
        <f>SUMIF(G3:G33,"X",F3:F33)</f>
        <v>0</v>
      </c>
    </row>
    <row r="35" spans="1:7" ht="15" x14ac:dyDescent="0.2">
      <c r="D35" s="54" t="s">
        <v>15</v>
      </c>
      <c r="E35" s="55"/>
      <c r="F35" s="34">
        <f>SUMIF(G3:G33,"",F3:F33)</f>
        <v>0</v>
      </c>
    </row>
  </sheetData>
  <mergeCells count="7">
    <mergeCell ref="G1:G2"/>
    <mergeCell ref="D34:E34"/>
    <mergeCell ref="D35:E35"/>
    <mergeCell ref="A1:A2"/>
    <mergeCell ref="B1:B2"/>
    <mergeCell ref="C1:E1"/>
    <mergeCell ref="F1:F2"/>
  </mergeCells>
  <conditionalFormatting sqref="A3:A33">
    <cfRule type="containsText" dxfId="19" priority="1" operator="containsText" text="Sonntag">
      <formula>NOT(ISERROR(SEARCH("Sonntag",A3)))</formula>
    </cfRule>
    <cfRule type="containsText" dxfId="18" priority="2" operator="containsText" text="Samstag">
      <formula>NOT(ISERROR(SEARCH("Samstag",A3)))</formula>
    </cfRule>
  </conditionalFormatting>
  <pageMargins left="0.7" right="0.7" top="0.78740157499999996" bottom="0.78740157499999996" header="0.3" footer="0.3"/>
  <pageSetup paperSize="9" scale="99" orientation="portrait" r:id="rId1"/>
  <headerFooter>
    <oddHeader>&amp;CMärz 2025</oddHeader>
    <oddFooter>&amp;R&amp;8Andreas Fischer | Wehleweg 4/ Top 43| 1030 Wien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57695-9582-4C98-A5F6-D39612F22BC1}">
  <sheetPr codeName="Tabelle5">
    <pageSetUpPr fitToPage="1"/>
  </sheetPr>
  <dimension ref="A1:G35"/>
  <sheetViews>
    <sheetView view="pageLayout" zoomScaleNormal="100" workbookViewId="0">
      <selection activeCell="C3" sqref="C3"/>
    </sheetView>
  </sheetViews>
  <sheetFormatPr baseColWidth="10" defaultRowHeight="14.25" x14ac:dyDescent="0.2"/>
  <cols>
    <col min="1" max="1" width="15.375" bestFit="1" customWidth="1"/>
    <col min="8" max="8" width="12.625" customWidth="1"/>
  </cols>
  <sheetData>
    <row r="1" spans="1:7" ht="15" customHeight="1" x14ac:dyDescent="0.2">
      <c r="A1" s="56" t="s">
        <v>0</v>
      </c>
      <c r="B1" s="58" t="s">
        <v>1</v>
      </c>
      <c r="C1" s="60" t="s">
        <v>4</v>
      </c>
      <c r="D1" s="61"/>
      <c r="E1" s="61"/>
      <c r="F1" s="62" t="s">
        <v>7</v>
      </c>
      <c r="G1" s="52" t="s">
        <v>8</v>
      </c>
    </row>
    <row r="2" spans="1:7" ht="15" customHeight="1" x14ac:dyDescent="0.2">
      <c r="A2" s="57"/>
      <c r="B2" s="59"/>
      <c r="C2" s="15" t="s">
        <v>2</v>
      </c>
      <c r="D2" s="6" t="s">
        <v>3</v>
      </c>
      <c r="E2" s="35" t="s">
        <v>5</v>
      </c>
      <c r="F2" s="63"/>
      <c r="G2" s="53"/>
    </row>
    <row r="3" spans="1:7" ht="15" customHeight="1" x14ac:dyDescent="0.2">
      <c r="A3" s="1" t="str">
        <f>TEXT(B3,"TTTT")</f>
        <v>Dienstag</v>
      </c>
      <c r="B3" s="12">
        <v>45748</v>
      </c>
      <c r="C3" s="40"/>
      <c r="D3" s="41"/>
      <c r="E3" s="36"/>
      <c r="F3" s="17">
        <f>((D3-C3)*24)-E3</f>
        <v>0</v>
      </c>
      <c r="G3" s="4"/>
    </row>
    <row r="4" spans="1:7" ht="15" customHeight="1" x14ac:dyDescent="0.2">
      <c r="A4" s="7" t="str">
        <f t="shared" ref="A4:A32" si="0">TEXT(B4,"TTTT")</f>
        <v>Mittwoch</v>
      </c>
      <c r="B4" s="13">
        <f>B3+1</f>
        <v>45749</v>
      </c>
      <c r="C4" s="18"/>
      <c r="D4" s="9"/>
      <c r="E4" s="37"/>
      <c r="F4" s="19">
        <f t="shared" ref="F4:F32" si="1">((D4-C4)*24)-E4</f>
        <v>0</v>
      </c>
      <c r="G4" s="10"/>
    </row>
    <row r="5" spans="1:7" ht="15" customHeight="1" x14ac:dyDescent="0.2">
      <c r="A5" s="2" t="str">
        <f t="shared" si="0"/>
        <v>Donnerstag</v>
      </c>
      <c r="B5" s="14">
        <f t="shared" ref="B5:B32" si="2">B4+1</f>
        <v>45750</v>
      </c>
      <c r="C5" s="20"/>
      <c r="D5" s="11"/>
      <c r="E5" s="38"/>
      <c r="F5" s="21">
        <f t="shared" si="1"/>
        <v>0</v>
      </c>
      <c r="G5" s="5"/>
    </row>
    <row r="6" spans="1:7" ht="15" customHeight="1" x14ac:dyDescent="0.2">
      <c r="A6" s="7" t="str">
        <f t="shared" si="0"/>
        <v>Freitag</v>
      </c>
      <c r="B6" s="13">
        <f t="shared" si="2"/>
        <v>45751</v>
      </c>
      <c r="C6" s="18"/>
      <c r="D6" s="9"/>
      <c r="E6" s="37"/>
      <c r="F6" s="19">
        <f t="shared" si="1"/>
        <v>0</v>
      </c>
      <c r="G6" s="10"/>
    </row>
    <row r="7" spans="1:7" ht="15" customHeight="1" x14ac:dyDescent="0.2">
      <c r="A7" s="2" t="str">
        <f t="shared" si="0"/>
        <v>Samstag</v>
      </c>
      <c r="B7" s="14">
        <f t="shared" si="2"/>
        <v>45752</v>
      </c>
      <c r="C7" s="20"/>
      <c r="D7" s="11"/>
      <c r="E7" s="38"/>
      <c r="F7" s="21">
        <f t="shared" si="1"/>
        <v>0</v>
      </c>
      <c r="G7" s="5"/>
    </row>
    <row r="8" spans="1:7" ht="15" customHeight="1" x14ac:dyDescent="0.2">
      <c r="A8" s="7" t="str">
        <f t="shared" si="0"/>
        <v>Sonntag</v>
      </c>
      <c r="B8" s="13">
        <f t="shared" si="2"/>
        <v>45753</v>
      </c>
      <c r="C8" s="18"/>
      <c r="D8" s="9"/>
      <c r="E8" s="37"/>
      <c r="F8" s="19">
        <f t="shared" si="1"/>
        <v>0</v>
      </c>
      <c r="G8" s="10"/>
    </row>
    <row r="9" spans="1:7" ht="15" customHeight="1" x14ac:dyDescent="0.2">
      <c r="A9" s="2" t="str">
        <f t="shared" si="0"/>
        <v>Montag</v>
      </c>
      <c r="B9" s="14">
        <f t="shared" si="2"/>
        <v>45754</v>
      </c>
      <c r="C9" s="20"/>
      <c r="D9" s="11"/>
      <c r="E9" s="38"/>
      <c r="F9" s="21">
        <f t="shared" si="1"/>
        <v>0</v>
      </c>
      <c r="G9" s="5"/>
    </row>
    <row r="10" spans="1:7" ht="15" customHeight="1" x14ac:dyDescent="0.2">
      <c r="A10" s="7" t="str">
        <f t="shared" si="0"/>
        <v>Dienstag</v>
      </c>
      <c r="B10" s="13">
        <f t="shared" si="2"/>
        <v>45755</v>
      </c>
      <c r="C10" s="18"/>
      <c r="D10" s="9"/>
      <c r="E10" s="37"/>
      <c r="F10" s="19">
        <f t="shared" si="1"/>
        <v>0</v>
      </c>
      <c r="G10" s="10"/>
    </row>
    <row r="11" spans="1:7" ht="15" customHeight="1" x14ac:dyDescent="0.2">
      <c r="A11" s="2" t="str">
        <f t="shared" si="0"/>
        <v>Mittwoch</v>
      </c>
      <c r="B11" s="14">
        <f t="shared" si="2"/>
        <v>45756</v>
      </c>
      <c r="C11" s="20"/>
      <c r="D11" s="11"/>
      <c r="E11" s="38"/>
      <c r="F11" s="21">
        <f t="shared" si="1"/>
        <v>0</v>
      </c>
      <c r="G11" s="5"/>
    </row>
    <row r="12" spans="1:7" ht="15" customHeight="1" x14ac:dyDescent="0.2">
      <c r="A12" s="7" t="str">
        <f t="shared" si="0"/>
        <v>Donnerstag</v>
      </c>
      <c r="B12" s="13">
        <f t="shared" si="2"/>
        <v>45757</v>
      </c>
      <c r="C12" s="18"/>
      <c r="D12" s="9"/>
      <c r="E12" s="37"/>
      <c r="F12" s="19">
        <f t="shared" si="1"/>
        <v>0</v>
      </c>
      <c r="G12" s="10"/>
    </row>
    <row r="13" spans="1:7" ht="15" customHeight="1" x14ac:dyDescent="0.2">
      <c r="A13" s="2" t="str">
        <f t="shared" si="0"/>
        <v>Freitag</v>
      </c>
      <c r="B13" s="14">
        <f t="shared" si="2"/>
        <v>45758</v>
      </c>
      <c r="C13" s="20"/>
      <c r="D13" s="11"/>
      <c r="E13" s="38"/>
      <c r="F13" s="21">
        <f t="shared" si="1"/>
        <v>0</v>
      </c>
      <c r="G13" s="5"/>
    </row>
    <row r="14" spans="1:7" ht="15" customHeight="1" x14ac:dyDescent="0.2">
      <c r="A14" s="7" t="str">
        <f t="shared" si="0"/>
        <v>Samstag</v>
      </c>
      <c r="B14" s="13">
        <f t="shared" si="2"/>
        <v>45759</v>
      </c>
      <c r="C14" s="18"/>
      <c r="D14" s="9"/>
      <c r="E14" s="37"/>
      <c r="F14" s="19">
        <f t="shared" si="1"/>
        <v>0</v>
      </c>
      <c r="G14" s="10"/>
    </row>
    <row r="15" spans="1:7" ht="15" customHeight="1" x14ac:dyDescent="0.2">
      <c r="A15" s="2" t="str">
        <f t="shared" si="0"/>
        <v>Sonntag</v>
      </c>
      <c r="B15" s="14">
        <f t="shared" si="2"/>
        <v>45760</v>
      </c>
      <c r="C15" s="20"/>
      <c r="D15" s="11"/>
      <c r="E15" s="38"/>
      <c r="F15" s="21">
        <f t="shared" si="1"/>
        <v>0</v>
      </c>
      <c r="G15" s="5"/>
    </row>
    <row r="16" spans="1:7" ht="15" customHeight="1" x14ac:dyDescent="0.2">
      <c r="A16" s="7" t="str">
        <f t="shared" si="0"/>
        <v>Montag</v>
      </c>
      <c r="B16" s="13">
        <f t="shared" si="2"/>
        <v>45761</v>
      </c>
      <c r="C16" s="18"/>
      <c r="D16" s="9"/>
      <c r="E16" s="37"/>
      <c r="F16" s="19">
        <f t="shared" si="1"/>
        <v>0</v>
      </c>
      <c r="G16" s="10"/>
    </row>
    <row r="17" spans="1:7" ht="15" customHeight="1" x14ac:dyDescent="0.2">
      <c r="A17" s="2" t="str">
        <f t="shared" si="0"/>
        <v>Dienstag</v>
      </c>
      <c r="B17" s="14">
        <f t="shared" si="2"/>
        <v>45762</v>
      </c>
      <c r="C17" s="20"/>
      <c r="D17" s="11"/>
      <c r="E17" s="38"/>
      <c r="F17" s="21">
        <f t="shared" si="1"/>
        <v>0</v>
      </c>
      <c r="G17" s="5"/>
    </row>
    <row r="18" spans="1:7" ht="15" customHeight="1" x14ac:dyDescent="0.2">
      <c r="A18" s="7" t="str">
        <f t="shared" si="0"/>
        <v>Mittwoch</v>
      </c>
      <c r="B18" s="13">
        <f t="shared" si="2"/>
        <v>45763</v>
      </c>
      <c r="C18" s="18"/>
      <c r="D18" s="9"/>
      <c r="E18" s="37"/>
      <c r="F18" s="19">
        <f t="shared" si="1"/>
        <v>0</v>
      </c>
      <c r="G18" s="10"/>
    </row>
    <row r="19" spans="1:7" ht="15" customHeight="1" x14ac:dyDescent="0.2">
      <c r="A19" s="2" t="str">
        <f t="shared" si="0"/>
        <v>Donnerstag</v>
      </c>
      <c r="B19" s="14">
        <f t="shared" si="2"/>
        <v>45764</v>
      </c>
      <c r="C19" s="20"/>
      <c r="D19" s="11"/>
      <c r="E19" s="38"/>
      <c r="F19" s="21">
        <f t="shared" si="1"/>
        <v>0</v>
      </c>
      <c r="G19" s="5"/>
    </row>
    <row r="20" spans="1:7" ht="15" customHeight="1" x14ac:dyDescent="0.2">
      <c r="A20" s="7" t="str">
        <f t="shared" si="0"/>
        <v>Freitag</v>
      </c>
      <c r="B20" s="13">
        <f t="shared" si="2"/>
        <v>45765</v>
      </c>
      <c r="C20" s="18"/>
      <c r="D20" s="9"/>
      <c r="E20" s="37"/>
      <c r="F20" s="19">
        <f t="shared" si="1"/>
        <v>0</v>
      </c>
      <c r="G20" s="10"/>
    </row>
    <row r="21" spans="1:7" ht="15" customHeight="1" x14ac:dyDescent="0.2">
      <c r="A21" s="2" t="str">
        <f t="shared" si="0"/>
        <v>Samstag</v>
      </c>
      <c r="B21" s="14">
        <f t="shared" si="2"/>
        <v>45766</v>
      </c>
      <c r="C21" s="20"/>
      <c r="D21" s="11"/>
      <c r="E21" s="38"/>
      <c r="F21" s="21">
        <f t="shared" si="1"/>
        <v>0</v>
      </c>
      <c r="G21" s="5"/>
    </row>
    <row r="22" spans="1:7" ht="15" customHeight="1" x14ac:dyDescent="0.2">
      <c r="A22" s="7" t="str">
        <f t="shared" si="0"/>
        <v>Sonntag</v>
      </c>
      <c r="B22" s="13">
        <f t="shared" si="2"/>
        <v>45767</v>
      </c>
      <c r="C22" s="18"/>
      <c r="D22" s="9"/>
      <c r="E22" s="37"/>
      <c r="F22" s="19">
        <f t="shared" si="1"/>
        <v>0</v>
      </c>
      <c r="G22" s="10"/>
    </row>
    <row r="23" spans="1:7" ht="15" customHeight="1" x14ac:dyDescent="0.2">
      <c r="A23" s="2" t="str">
        <f t="shared" si="0"/>
        <v>Montag</v>
      </c>
      <c r="B23" s="14">
        <f t="shared" si="2"/>
        <v>45768</v>
      </c>
      <c r="C23" s="20"/>
      <c r="D23" s="11"/>
      <c r="E23" s="38"/>
      <c r="F23" s="21">
        <f t="shared" si="1"/>
        <v>0</v>
      </c>
      <c r="G23" s="5"/>
    </row>
    <row r="24" spans="1:7" ht="15" customHeight="1" x14ac:dyDescent="0.2">
      <c r="A24" s="7" t="str">
        <f t="shared" si="0"/>
        <v>Dienstag</v>
      </c>
      <c r="B24" s="13">
        <f t="shared" si="2"/>
        <v>45769</v>
      </c>
      <c r="C24" s="18"/>
      <c r="D24" s="9"/>
      <c r="E24" s="37"/>
      <c r="F24" s="19">
        <f t="shared" si="1"/>
        <v>0</v>
      </c>
      <c r="G24" s="10"/>
    </row>
    <row r="25" spans="1:7" ht="15" customHeight="1" x14ac:dyDescent="0.2">
      <c r="A25" s="2" t="str">
        <f t="shared" si="0"/>
        <v>Mittwoch</v>
      </c>
      <c r="B25" s="14">
        <f t="shared" si="2"/>
        <v>45770</v>
      </c>
      <c r="C25" s="20"/>
      <c r="D25" s="11"/>
      <c r="E25" s="38"/>
      <c r="F25" s="21">
        <f t="shared" si="1"/>
        <v>0</v>
      </c>
      <c r="G25" s="5"/>
    </row>
    <row r="26" spans="1:7" ht="15" customHeight="1" x14ac:dyDescent="0.2">
      <c r="A26" s="7" t="str">
        <f t="shared" si="0"/>
        <v>Donnerstag</v>
      </c>
      <c r="B26" s="13">
        <f t="shared" si="2"/>
        <v>45771</v>
      </c>
      <c r="C26" s="18"/>
      <c r="D26" s="9"/>
      <c r="E26" s="37"/>
      <c r="F26" s="19">
        <f t="shared" si="1"/>
        <v>0</v>
      </c>
      <c r="G26" s="10"/>
    </row>
    <row r="27" spans="1:7" ht="15" customHeight="1" x14ac:dyDescent="0.2">
      <c r="A27" s="2" t="str">
        <f t="shared" si="0"/>
        <v>Freitag</v>
      </c>
      <c r="B27" s="14">
        <f t="shared" si="2"/>
        <v>45772</v>
      </c>
      <c r="C27" s="20"/>
      <c r="D27" s="11"/>
      <c r="E27" s="38"/>
      <c r="F27" s="21">
        <f t="shared" si="1"/>
        <v>0</v>
      </c>
      <c r="G27" s="5"/>
    </row>
    <row r="28" spans="1:7" ht="15" customHeight="1" x14ac:dyDescent="0.2">
      <c r="A28" s="7" t="str">
        <f t="shared" si="0"/>
        <v>Samstag</v>
      </c>
      <c r="B28" s="13">
        <f t="shared" si="2"/>
        <v>45773</v>
      </c>
      <c r="C28" s="18"/>
      <c r="D28" s="9"/>
      <c r="E28" s="37"/>
      <c r="F28" s="19">
        <f t="shared" si="1"/>
        <v>0</v>
      </c>
      <c r="G28" s="10"/>
    </row>
    <row r="29" spans="1:7" ht="15" customHeight="1" x14ac:dyDescent="0.2">
      <c r="A29" s="2" t="str">
        <f t="shared" si="0"/>
        <v>Sonntag</v>
      </c>
      <c r="B29" s="14">
        <f t="shared" si="2"/>
        <v>45774</v>
      </c>
      <c r="C29" s="20"/>
      <c r="D29" s="11"/>
      <c r="E29" s="38"/>
      <c r="F29" s="21">
        <f t="shared" si="1"/>
        <v>0</v>
      </c>
      <c r="G29" s="5"/>
    </row>
    <row r="30" spans="1:7" ht="15" customHeight="1" x14ac:dyDescent="0.2">
      <c r="A30" s="7" t="str">
        <f t="shared" si="0"/>
        <v>Montag</v>
      </c>
      <c r="B30" s="13">
        <f t="shared" si="2"/>
        <v>45775</v>
      </c>
      <c r="C30" s="18"/>
      <c r="D30" s="9"/>
      <c r="E30" s="37"/>
      <c r="F30" s="19">
        <f t="shared" si="1"/>
        <v>0</v>
      </c>
      <c r="G30" s="10"/>
    </row>
    <row r="31" spans="1:7" ht="15" customHeight="1" x14ac:dyDescent="0.2">
      <c r="A31" s="2" t="str">
        <f t="shared" si="0"/>
        <v>Dienstag</v>
      </c>
      <c r="B31" s="14">
        <f t="shared" si="2"/>
        <v>45776</v>
      </c>
      <c r="C31" s="20"/>
      <c r="D31" s="11"/>
      <c r="E31" s="38"/>
      <c r="F31" s="21">
        <f t="shared" si="1"/>
        <v>0</v>
      </c>
      <c r="G31" s="5"/>
    </row>
    <row r="32" spans="1:7" ht="15" customHeight="1" x14ac:dyDescent="0.2">
      <c r="A32" s="7" t="str">
        <f t="shared" si="0"/>
        <v>Mittwoch</v>
      </c>
      <c r="B32" s="13">
        <f t="shared" si="2"/>
        <v>45777</v>
      </c>
      <c r="C32" s="18"/>
      <c r="D32" s="9"/>
      <c r="E32" s="37"/>
      <c r="F32" s="19">
        <f t="shared" si="1"/>
        <v>0</v>
      </c>
      <c r="G32" s="10"/>
    </row>
    <row r="33" spans="1:7" ht="15" customHeight="1" x14ac:dyDescent="0.2">
      <c r="A33" s="22"/>
      <c r="B33" s="23"/>
      <c r="C33" s="24"/>
      <c r="D33" s="25"/>
      <c r="E33" s="39"/>
      <c r="F33" s="26"/>
      <c r="G33" s="3"/>
    </row>
    <row r="34" spans="1:7" ht="15" x14ac:dyDescent="0.2">
      <c r="D34" s="54" t="s">
        <v>14</v>
      </c>
      <c r="E34" s="55"/>
      <c r="F34" s="34">
        <f>SUMIF(G3:G33,"X",F3:F33)</f>
        <v>0</v>
      </c>
    </row>
    <row r="35" spans="1:7" ht="15" x14ac:dyDescent="0.2">
      <c r="D35" s="54" t="s">
        <v>15</v>
      </c>
      <c r="E35" s="55"/>
      <c r="F35" s="34">
        <f>SUMIF(G3:G33,"",F3:F33)</f>
        <v>0</v>
      </c>
    </row>
  </sheetData>
  <mergeCells count="7">
    <mergeCell ref="G1:G2"/>
    <mergeCell ref="D34:E34"/>
    <mergeCell ref="D35:E35"/>
    <mergeCell ref="A1:A2"/>
    <mergeCell ref="B1:B2"/>
    <mergeCell ref="C1:E1"/>
    <mergeCell ref="F1:F2"/>
  </mergeCells>
  <conditionalFormatting sqref="A3:A33">
    <cfRule type="containsText" dxfId="17" priority="1" operator="containsText" text="Sonntag">
      <formula>NOT(ISERROR(SEARCH("Sonntag",A3)))</formula>
    </cfRule>
    <cfRule type="containsText" dxfId="16" priority="2" operator="containsText" text="Samstag">
      <formula>NOT(ISERROR(SEARCH("Samstag",A3)))</formula>
    </cfRule>
  </conditionalFormatting>
  <pageMargins left="0.7" right="0.7" top="0.78740157499999996" bottom="0.78740157499999996" header="0.3" footer="0.3"/>
  <pageSetup paperSize="9" scale="99" orientation="portrait" r:id="rId1"/>
  <headerFooter>
    <oddHeader>&amp;CApril 2025</oddHeader>
    <oddFooter>&amp;R&amp;8Andreas Fischer | Wehleweg 4/ Top 43| 1030 Wien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EB7BB-665C-4BE4-B74F-F9416EAFB3CF}">
  <sheetPr codeName="Tabelle6">
    <pageSetUpPr fitToPage="1"/>
  </sheetPr>
  <dimension ref="A1:G35"/>
  <sheetViews>
    <sheetView view="pageLayout" zoomScaleNormal="100" workbookViewId="0">
      <selection activeCell="C3" sqref="C3"/>
    </sheetView>
  </sheetViews>
  <sheetFormatPr baseColWidth="10" defaultRowHeight="14.25" x14ac:dyDescent="0.2"/>
  <cols>
    <col min="1" max="1" width="15.375" bestFit="1" customWidth="1"/>
    <col min="8" max="8" width="12.625" customWidth="1"/>
  </cols>
  <sheetData>
    <row r="1" spans="1:7" ht="15" customHeight="1" x14ac:dyDescent="0.2">
      <c r="A1" s="56" t="s">
        <v>0</v>
      </c>
      <c r="B1" s="58" t="s">
        <v>1</v>
      </c>
      <c r="C1" s="60" t="s">
        <v>4</v>
      </c>
      <c r="D1" s="61"/>
      <c r="E1" s="61"/>
      <c r="F1" s="62" t="s">
        <v>7</v>
      </c>
      <c r="G1" s="52" t="s">
        <v>8</v>
      </c>
    </row>
    <row r="2" spans="1:7" ht="15" customHeight="1" x14ac:dyDescent="0.2">
      <c r="A2" s="57"/>
      <c r="B2" s="59"/>
      <c r="C2" s="15" t="s">
        <v>2</v>
      </c>
      <c r="D2" s="6" t="s">
        <v>3</v>
      </c>
      <c r="E2" s="35" t="s">
        <v>5</v>
      </c>
      <c r="F2" s="63"/>
      <c r="G2" s="53"/>
    </row>
    <row r="3" spans="1:7" ht="15" customHeight="1" x14ac:dyDescent="0.2">
      <c r="A3" s="1" t="str">
        <f>TEXT(B3,"TTTT")</f>
        <v>Donnerstag</v>
      </c>
      <c r="B3" s="12">
        <v>45778</v>
      </c>
      <c r="C3" s="40"/>
      <c r="D3" s="41"/>
      <c r="E3" s="36"/>
      <c r="F3" s="17">
        <f>((D3-C3)*24)-E3</f>
        <v>0</v>
      </c>
      <c r="G3" s="4"/>
    </row>
    <row r="4" spans="1:7" ht="15" customHeight="1" x14ac:dyDescent="0.2">
      <c r="A4" s="7" t="str">
        <f t="shared" ref="A4:A33" si="0">TEXT(B4,"TTTT")</f>
        <v>Freitag</v>
      </c>
      <c r="B4" s="13">
        <f>B3+1</f>
        <v>45779</v>
      </c>
      <c r="C4" s="18"/>
      <c r="D4" s="9"/>
      <c r="E4" s="37"/>
      <c r="F4" s="19">
        <f t="shared" ref="F4:F33" si="1">((D4-C4)*24)-E4</f>
        <v>0</v>
      </c>
      <c r="G4" s="10"/>
    </row>
    <row r="5" spans="1:7" ht="15" customHeight="1" x14ac:dyDescent="0.2">
      <c r="A5" s="2" t="str">
        <f t="shared" si="0"/>
        <v>Samstag</v>
      </c>
      <c r="B5" s="14">
        <f t="shared" ref="B5:B33" si="2">B4+1</f>
        <v>45780</v>
      </c>
      <c r="C5" s="20"/>
      <c r="D5" s="11"/>
      <c r="E5" s="38"/>
      <c r="F5" s="21">
        <f t="shared" si="1"/>
        <v>0</v>
      </c>
      <c r="G5" s="5"/>
    </row>
    <row r="6" spans="1:7" ht="15" customHeight="1" x14ac:dyDescent="0.2">
      <c r="A6" s="7" t="str">
        <f t="shared" si="0"/>
        <v>Sonntag</v>
      </c>
      <c r="B6" s="13">
        <f t="shared" si="2"/>
        <v>45781</v>
      </c>
      <c r="C6" s="18"/>
      <c r="D6" s="9"/>
      <c r="E6" s="37"/>
      <c r="F6" s="19">
        <f t="shared" si="1"/>
        <v>0</v>
      </c>
      <c r="G6" s="10"/>
    </row>
    <row r="7" spans="1:7" ht="15" customHeight="1" x14ac:dyDescent="0.2">
      <c r="A7" s="2" t="str">
        <f t="shared" si="0"/>
        <v>Montag</v>
      </c>
      <c r="B7" s="14">
        <f t="shared" si="2"/>
        <v>45782</v>
      </c>
      <c r="C7" s="20"/>
      <c r="D7" s="11"/>
      <c r="E7" s="38"/>
      <c r="F7" s="21">
        <f t="shared" si="1"/>
        <v>0</v>
      </c>
      <c r="G7" s="5"/>
    </row>
    <row r="8" spans="1:7" ht="15" customHeight="1" x14ac:dyDescent="0.2">
      <c r="A8" s="7" t="str">
        <f t="shared" si="0"/>
        <v>Dienstag</v>
      </c>
      <c r="B8" s="13">
        <f t="shared" si="2"/>
        <v>45783</v>
      </c>
      <c r="C8" s="18"/>
      <c r="D8" s="9"/>
      <c r="E8" s="37"/>
      <c r="F8" s="19">
        <f t="shared" si="1"/>
        <v>0</v>
      </c>
      <c r="G8" s="10"/>
    </row>
    <row r="9" spans="1:7" ht="15" customHeight="1" x14ac:dyDescent="0.2">
      <c r="A9" s="2" t="str">
        <f t="shared" si="0"/>
        <v>Mittwoch</v>
      </c>
      <c r="B9" s="14">
        <f t="shared" si="2"/>
        <v>45784</v>
      </c>
      <c r="C9" s="20"/>
      <c r="D9" s="11"/>
      <c r="E9" s="38"/>
      <c r="F9" s="21">
        <f t="shared" si="1"/>
        <v>0</v>
      </c>
      <c r="G9" s="5"/>
    </row>
    <row r="10" spans="1:7" ht="15" customHeight="1" x14ac:dyDescent="0.2">
      <c r="A10" s="7" t="str">
        <f t="shared" si="0"/>
        <v>Donnerstag</v>
      </c>
      <c r="B10" s="13">
        <f t="shared" si="2"/>
        <v>45785</v>
      </c>
      <c r="C10" s="18"/>
      <c r="D10" s="9"/>
      <c r="E10" s="37"/>
      <c r="F10" s="19">
        <f t="shared" si="1"/>
        <v>0</v>
      </c>
      <c r="G10" s="10"/>
    </row>
    <row r="11" spans="1:7" ht="15" customHeight="1" x14ac:dyDescent="0.2">
      <c r="A11" s="2" t="str">
        <f t="shared" si="0"/>
        <v>Freitag</v>
      </c>
      <c r="B11" s="14">
        <f t="shared" si="2"/>
        <v>45786</v>
      </c>
      <c r="C11" s="20"/>
      <c r="D11" s="11"/>
      <c r="E11" s="38"/>
      <c r="F11" s="21">
        <f t="shared" si="1"/>
        <v>0</v>
      </c>
      <c r="G11" s="5"/>
    </row>
    <row r="12" spans="1:7" ht="15" customHeight="1" x14ac:dyDescent="0.2">
      <c r="A12" s="7" t="str">
        <f t="shared" si="0"/>
        <v>Samstag</v>
      </c>
      <c r="B12" s="13">
        <f t="shared" si="2"/>
        <v>45787</v>
      </c>
      <c r="C12" s="18"/>
      <c r="D12" s="9"/>
      <c r="E12" s="37"/>
      <c r="F12" s="19">
        <f t="shared" si="1"/>
        <v>0</v>
      </c>
      <c r="G12" s="10"/>
    </row>
    <row r="13" spans="1:7" ht="15" customHeight="1" x14ac:dyDescent="0.2">
      <c r="A13" s="2" t="str">
        <f t="shared" si="0"/>
        <v>Sonntag</v>
      </c>
      <c r="B13" s="14">
        <f t="shared" si="2"/>
        <v>45788</v>
      </c>
      <c r="C13" s="20"/>
      <c r="D13" s="11"/>
      <c r="E13" s="38"/>
      <c r="F13" s="21">
        <f t="shared" si="1"/>
        <v>0</v>
      </c>
      <c r="G13" s="5"/>
    </row>
    <row r="14" spans="1:7" ht="15" customHeight="1" x14ac:dyDescent="0.2">
      <c r="A14" s="7" t="str">
        <f t="shared" si="0"/>
        <v>Montag</v>
      </c>
      <c r="B14" s="13">
        <f t="shared" si="2"/>
        <v>45789</v>
      </c>
      <c r="C14" s="18"/>
      <c r="D14" s="9"/>
      <c r="E14" s="37"/>
      <c r="F14" s="19">
        <f t="shared" si="1"/>
        <v>0</v>
      </c>
      <c r="G14" s="10"/>
    </row>
    <row r="15" spans="1:7" ht="15" customHeight="1" x14ac:dyDescent="0.2">
      <c r="A15" s="2" t="str">
        <f t="shared" si="0"/>
        <v>Dienstag</v>
      </c>
      <c r="B15" s="14">
        <f t="shared" si="2"/>
        <v>45790</v>
      </c>
      <c r="C15" s="20"/>
      <c r="D15" s="11"/>
      <c r="E15" s="38"/>
      <c r="F15" s="21">
        <f t="shared" si="1"/>
        <v>0</v>
      </c>
      <c r="G15" s="5"/>
    </row>
    <row r="16" spans="1:7" ht="15" customHeight="1" x14ac:dyDescent="0.2">
      <c r="A16" s="7" t="str">
        <f t="shared" si="0"/>
        <v>Mittwoch</v>
      </c>
      <c r="B16" s="13">
        <f t="shared" si="2"/>
        <v>45791</v>
      </c>
      <c r="C16" s="18"/>
      <c r="D16" s="9"/>
      <c r="E16" s="37"/>
      <c r="F16" s="19">
        <f t="shared" si="1"/>
        <v>0</v>
      </c>
      <c r="G16" s="10"/>
    </row>
    <row r="17" spans="1:7" ht="15" customHeight="1" x14ac:dyDescent="0.2">
      <c r="A17" s="2" t="str">
        <f t="shared" si="0"/>
        <v>Donnerstag</v>
      </c>
      <c r="B17" s="14">
        <f t="shared" si="2"/>
        <v>45792</v>
      </c>
      <c r="C17" s="20"/>
      <c r="D17" s="11"/>
      <c r="E17" s="38"/>
      <c r="F17" s="21">
        <f t="shared" si="1"/>
        <v>0</v>
      </c>
      <c r="G17" s="5"/>
    </row>
    <row r="18" spans="1:7" ht="15" customHeight="1" x14ac:dyDescent="0.2">
      <c r="A18" s="7" t="str">
        <f t="shared" si="0"/>
        <v>Freitag</v>
      </c>
      <c r="B18" s="13">
        <f t="shared" si="2"/>
        <v>45793</v>
      </c>
      <c r="C18" s="18"/>
      <c r="D18" s="9"/>
      <c r="E18" s="37"/>
      <c r="F18" s="19">
        <f t="shared" si="1"/>
        <v>0</v>
      </c>
      <c r="G18" s="10"/>
    </row>
    <row r="19" spans="1:7" ht="15" customHeight="1" x14ac:dyDescent="0.2">
      <c r="A19" s="2" t="str">
        <f t="shared" si="0"/>
        <v>Samstag</v>
      </c>
      <c r="B19" s="14">
        <f t="shared" si="2"/>
        <v>45794</v>
      </c>
      <c r="C19" s="20"/>
      <c r="D19" s="11"/>
      <c r="E19" s="38"/>
      <c r="F19" s="21">
        <f t="shared" si="1"/>
        <v>0</v>
      </c>
      <c r="G19" s="5"/>
    </row>
    <row r="20" spans="1:7" ht="15" customHeight="1" x14ac:dyDescent="0.2">
      <c r="A20" s="7" t="str">
        <f t="shared" si="0"/>
        <v>Sonntag</v>
      </c>
      <c r="B20" s="13">
        <f t="shared" si="2"/>
        <v>45795</v>
      </c>
      <c r="C20" s="18"/>
      <c r="D20" s="9"/>
      <c r="E20" s="37"/>
      <c r="F20" s="19">
        <f t="shared" si="1"/>
        <v>0</v>
      </c>
      <c r="G20" s="10"/>
    </row>
    <row r="21" spans="1:7" ht="15" customHeight="1" x14ac:dyDescent="0.2">
      <c r="A21" s="2" t="str">
        <f t="shared" si="0"/>
        <v>Montag</v>
      </c>
      <c r="B21" s="14">
        <f t="shared" si="2"/>
        <v>45796</v>
      </c>
      <c r="C21" s="20"/>
      <c r="D21" s="11"/>
      <c r="E21" s="38"/>
      <c r="F21" s="21">
        <f t="shared" si="1"/>
        <v>0</v>
      </c>
      <c r="G21" s="5"/>
    </row>
    <row r="22" spans="1:7" ht="15" customHeight="1" x14ac:dyDescent="0.2">
      <c r="A22" s="7" t="str">
        <f t="shared" si="0"/>
        <v>Dienstag</v>
      </c>
      <c r="B22" s="13">
        <f t="shared" si="2"/>
        <v>45797</v>
      </c>
      <c r="C22" s="18"/>
      <c r="D22" s="9"/>
      <c r="E22" s="37"/>
      <c r="F22" s="19">
        <f t="shared" si="1"/>
        <v>0</v>
      </c>
      <c r="G22" s="10"/>
    </row>
    <row r="23" spans="1:7" ht="15" customHeight="1" x14ac:dyDescent="0.2">
      <c r="A23" s="2" t="str">
        <f t="shared" si="0"/>
        <v>Mittwoch</v>
      </c>
      <c r="B23" s="14">
        <f t="shared" si="2"/>
        <v>45798</v>
      </c>
      <c r="C23" s="20"/>
      <c r="D23" s="11"/>
      <c r="E23" s="38"/>
      <c r="F23" s="21">
        <f t="shared" si="1"/>
        <v>0</v>
      </c>
      <c r="G23" s="5"/>
    </row>
    <row r="24" spans="1:7" ht="15" customHeight="1" x14ac:dyDescent="0.2">
      <c r="A24" s="7" t="str">
        <f t="shared" si="0"/>
        <v>Donnerstag</v>
      </c>
      <c r="B24" s="13">
        <f t="shared" si="2"/>
        <v>45799</v>
      </c>
      <c r="C24" s="18"/>
      <c r="D24" s="9"/>
      <c r="E24" s="37"/>
      <c r="F24" s="19">
        <f t="shared" si="1"/>
        <v>0</v>
      </c>
      <c r="G24" s="10"/>
    </row>
    <row r="25" spans="1:7" ht="15" customHeight="1" x14ac:dyDescent="0.2">
      <c r="A25" s="2" t="str">
        <f t="shared" si="0"/>
        <v>Freitag</v>
      </c>
      <c r="B25" s="14">
        <f t="shared" si="2"/>
        <v>45800</v>
      </c>
      <c r="C25" s="20"/>
      <c r="D25" s="11"/>
      <c r="E25" s="38"/>
      <c r="F25" s="21">
        <f t="shared" si="1"/>
        <v>0</v>
      </c>
      <c r="G25" s="5"/>
    </row>
    <row r="26" spans="1:7" ht="15" customHeight="1" x14ac:dyDescent="0.2">
      <c r="A26" s="7" t="str">
        <f t="shared" si="0"/>
        <v>Samstag</v>
      </c>
      <c r="B26" s="13">
        <f t="shared" si="2"/>
        <v>45801</v>
      </c>
      <c r="C26" s="18"/>
      <c r="D26" s="9"/>
      <c r="E26" s="37"/>
      <c r="F26" s="19">
        <f t="shared" si="1"/>
        <v>0</v>
      </c>
      <c r="G26" s="10"/>
    </row>
    <row r="27" spans="1:7" ht="15" customHeight="1" x14ac:dyDescent="0.2">
      <c r="A27" s="2" t="str">
        <f t="shared" si="0"/>
        <v>Sonntag</v>
      </c>
      <c r="B27" s="14">
        <f t="shared" si="2"/>
        <v>45802</v>
      </c>
      <c r="C27" s="20"/>
      <c r="D27" s="11"/>
      <c r="E27" s="38"/>
      <c r="F27" s="21">
        <f t="shared" si="1"/>
        <v>0</v>
      </c>
      <c r="G27" s="5"/>
    </row>
    <row r="28" spans="1:7" ht="15" customHeight="1" x14ac:dyDescent="0.2">
      <c r="A28" s="7" t="str">
        <f t="shared" si="0"/>
        <v>Montag</v>
      </c>
      <c r="B28" s="13">
        <f t="shared" si="2"/>
        <v>45803</v>
      </c>
      <c r="C28" s="18"/>
      <c r="D28" s="9"/>
      <c r="E28" s="37"/>
      <c r="F28" s="19">
        <f t="shared" si="1"/>
        <v>0</v>
      </c>
      <c r="G28" s="10"/>
    </row>
    <row r="29" spans="1:7" ht="15" customHeight="1" x14ac:dyDescent="0.2">
      <c r="A29" s="2" t="str">
        <f t="shared" si="0"/>
        <v>Dienstag</v>
      </c>
      <c r="B29" s="14">
        <f t="shared" si="2"/>
        <v>45804</v>
      </c>
      <c r="C29" s="20"/>
      <c r="D29" s="11"/>
      <c r="E29" s="38"/>
      <c r="F29" s="21">
        <f t="shared" si="1"/>
        <v>0</v>
      </c>
      <c r="G29" s="5"/>
    </row>
    <row r="30" spans="1:7" ht="15" customHeight="1" x14ac:dyDescent="0.2">
      <c r="A30" s="7" t="str">
        <f t="shared" si="0"/>
        <v>Mittwoch</v>
      </c>
      <c r="B30" s="13">
        <f t="shared" si="2"/>
        <v>45805</v>
      </c>
      <c r="C30" s="18"/>
      <c r="D30" s="9"/>
      <c r="E30" s="37"/>
      <c r="F30" s="19">
        <f t="shared" si="1"/>
        <v>0</v>
      </c>
      <c r="G30" s="10"/>
    </row>
    <row r="31" spans="1:7" ht="15" customHeight="1" x14ac:dyDescent="0.2">
      <c r="A31" s="2" t="str">
        <f t="shared" si="0"/>
        <v>Donnerstag</v>
      </c>
      <c r="B31" s="14">
        <f t="shared" si="2"/>
        <v>45806</v>
      </c>
      <c r="C31" s="20"/>
      <c r="D31" s="11"/>
      <c r="E31" s="38"/>
      <c r="F31" s="21">
        <f t="shared" si="1"/>
        <v>0</v>
      </c>
      <c r="G31" s="5"/>
    </row>
    <row r="32" spans="1:7" ht="15" customHeight="1" x14ac:dyDescent="0.2">
      <c r="A32" s="7" t="str">
        <f t="shared" si="0"/>
        <v>Freitag</v>
      </c>
      <c r="B32" s="13">
        <f t="shared" si="2"/>
        <v>45807</v>
      </c>
      <c r="C32" s="18"/>
      <c r="D32" s="9"/>
      <c r="E32" s="37"/>
      <c r="F32" s="19">
        <f t="shared" si="1"/>
        <v>0</v>
      </c>
      <c r="G32" s="10"/>
    </row>
    <row r="33" spans="1:7" ht="15" customHeight="1" x14ac:dyDescent="0.2">
      <c r="A33" s="22" t="str">
        <f t="shared" si="0"/>
        <v>Samstag</v>
      </c>
      <c r="B33" s="23">
        <f t="shared" si="2"/>
        <v>45808</v>
      </c>
      <c r="C33" s="24"/>
      <c r="D33" s="25"/>
      <c r="E33" s="39"/>
      <c r="F33" s="26">
        <f t="shared" si="1"/>
        <v>0</v>
      </c>
      <c r="G33" s="3"/>
    </row>
    <row r="34" spans="1:7" ht="15" x14ac:dyDescent="0.2">
      <c r="D34" s="54" t="s">
        <v>14</v>
      </c>
      <c r="E34" s="55"/>
      <c r="F34" s="34">
        <f>SUMIF(G3:G33,"X",F3:F33)</f>
        <v>0</v>
      </c>
    </row>
    <row r="35" spans="1:7" ht="15" x14ac:dyDescent="0.2">
      <c r="D35" s="54" t="s">
        <v>15</v>
      </c>
      <c r="E35" s="55"/>
      <c r="F35" s="34">
        <f>SUMIF(G3:G33,"",F3:F33)</f>
        <v>0</v>
      </c>
    </row>
  </sheetData>
  <mergeCells count="7">
    <mergeCell ref="G1:G2"/>
    <mergeCell ref="D34:E34"/>
    <mergeCell ref="D35:E35"/>
    <mergeCell ref="A1:A2"/>
    <mergeCell ref="B1:B2"/>
    <mergeCell ref="C1:E1"/>
    <mergeCell ref="F1:F2"/>
  </mergeCells>
  <conditionalFormatting sqref="A3:A33">
    <cfRule type="containsText" dxfId="15" priority="1" operator="containsText" text="Sonntag">
      <formula>NOT(ISERROR(SEARCH("Sonntag",A3)))</formula>
    </cfRule>
    <cfRule type="containsText" dxfId="14" priority="2" operator="containsText" text="Samstag">
      <formula>NOT(ISERROR(SEARCH("Samstag",A3)))</formula>
    </cfRule>
  </conditionalFormatting>
  <pageMargins left="0.7" right="0.7" top="0.78740157499999996" bottom="0.78740157499999996" header="0.3" footer="0.3"/>
  <pageSetup paperSize="9" scale="99" orientation="portrait" r:id="rId1"/>
  <headerFooter>
    <oddHeader>&amp;CMai 2025</oddHeader>
    <oddFooter>&amp;R&amp;8Andreas Fischer | Wehleweg 4/ Top 43| 1030 Wien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A52E4-B22B-4C5B-A63E-7FC5DEF4C996}">
  <sheetPr codeName="Tabelle7">
    <pageSetUpPr fitToPage="1"/>
  </sheetPr>
  <dimension ref="A1:G35"/>
  <sheetViews>
    <sheetView view="pageLayout" zoomScaleNormal="100" workbookViewId="0">
      <selection activeCell="C3" sqref="C3"/>
    </sheetView>
  </sheetViews>
  <sheetFormatPr baseColWidth="10" defaultRowHeight="14.25" x14ac:dyDescent="0.2"/>
  <cols>
    <col min="1" max="1" width="15.375" bestFit="1" customWidth="1"/>
    <col min="8" max="8" width="12.625" customWidth="1"/>
  </cols>
  <sheetData>
    <row r="1" spans="1:7" ht="15" customHeight="1" x14ac:dyDescent="0.2">
      <c r="A1" s="56" t="s">
        <v>0</v>
      </c>
      <c r="B1" s="58" t="s">
        <v>1</v>
      </c>
      <c r="C1" s="60" t="s">
        <v>4</v>
      </c>
      <c r="D1" s="61"/>
      <c r="E1" s="61"/>
      <c r="F1" s="62" t="s">
        <v>7</v>
      </c>
      <c r="G1" s="52" t="s">
        <v>8</v>
      </c>
    </row>
    <row r="2" spans="1:7" ht="15" customHeight="1" x14ac:dyDescent="0.2">
      <c r="A2" s="57"/>
      <c r="B2" s="59"/>
      <c r="C2" s="15" t="s">
        <v>2</v>
      </c>
      <c r="D2" s="6" t="s">
        <v>3</v>
      </c>
      <c r="E2" s="35" t="s">
        <v>5</v>
      </c>
      <c r="F2" s="63"/>
      <c r="G2" s="53"/>
    </row>
    <row r="3" spans="1:7" ht="15" customHeight="1" x14ac:dyDescent="0.2">
      <c r="A3" s="1" t="str">
        <f>TEXT(B3,"TTTT")</f>
        <v>Sonntag</v>
      </c>
      <c r="B3" s="12">
        <v>45809</v>
      </c>
      <c r="C3" s="40"/>
      <c r="D3" s="41"/>
      <c r="E3" s="36"/>
      <c r="F3" s="17">
        <f>((D3-C3)*24)-E3</f>
        <v>0</v>
      </c>
      <c r="G3" s="4"/>
    </row>
    <row r="4" spans="1:7" ht="15" customHeight="1" x14ac:dyDescent="0.2">
      <c r="A4" s="7" t="str">
        <f t="shared" ref="A4:A32" si="0">TEXT(B4,"TTTT")</f>
        <v>Montag</v>
      </c>
      <c r="B4" s="13">
        <f>B3+1</f>
        <v>45810</v>
      </c>
      <c r="C4" s="18"/>
      <c r="D4" s="9"/>
      <c r="E4" s="37"/>
      <c r="F4" s="19">
        <f t="shared" ref="F4:F32" si="1">((D4-C4)*24)-E4</f>
        <v>0</v>
      </c>
      <c r="G4" s="10"/>
    </row>
    <row r="5" spans="1:7" ht="15" customHeight="1" x14ac:dyDescent="0.2">
      <c r="A5" s="2" t="str">
        <f t="shared" si="0"/>
        <v>Dienstag</v>
      </c>
      <c r="B5" s="14">
        <f t="shared" ref="B5:B32" si="2">B4+1</f>
        <v>45811</v>
      </c>
      <c r="C5" s="20"/>
      <c r="D5" s="11"/>
      <c r="E5" s="38"/>
      <c r="F5" s="21">
        <f t="shared" si="1"/>
        <v>0</v>
      </c>
      <c r="G5" s="5"/>
    </row>
    <row r="6" spans="1:7" ht="15" customHeight="1" x14ac:dyDescent="0.2">
      <c r="A6" s="7" t="str">
        <f t="shared" si="0"/>
        <v>Mittwoch</v>
      </c>
      <c r="B6" s="13">
        <f t="shared" si="2"/>
        <v>45812</v>
      </c>
      <c r="C6" s="18"/>
      <c r="D6" s="9"/>
      <c r="E6" s="37"/>
      <c r="F6" s="19">
        <f t="shared" si="1"/>
        <v>0</v>
      </c>
      <c r="G6" s="10"/>
    </row>
    <row r="7" spans="1:7" ht="15" customHeight="1" x14ac:dyDescent="0.2">
      <c r="A7" s="2" t="str">
        <f t="shared" si="0"/>
        <v>Donnerstag</v>
      </c>
      <c r="B7" s="14">
        <f t="shared" si="2"/>
        <v>45813</v>
      </c>
      <c r="C7" s="20"/>
      <c r="D7" s="11"/>
      <c r="E7" s="38"/>
      <c r="F7" s="21">
        <f t="shared" si="1"/>
        <v>0</v>
      </c>
      <c r="G7" s="5"/>
    </row>
    <row r="8" spans="1:7" ht="15" customHeight="1" x14ac:dyDescent="0.2">
      <c r="A8" s="7" t="str">
        <f t="shared" si="0"/>
        <v>Freitag</v>
      </c>
      <c r="B8" s="13">
        <f t="shared" si="2"/>
        <v>45814</v>
      </c>
      <c r="C8" s="18"/>
      <c r="D8" s="9"/>
      <c r="E8" s="37"/>
      <c r="F8" s="19">
        <f t="shared" si="1"/>
        <v>0</v>
      </c>
      <c r="G8" s="10"/>
    </row>
    <row r="9" spans="1:7" ht="15" customHeight="1" x14ac:dyDescent="0.2">
      <c r="A9" s="2" t="str">
        <f t="shared" si="0"/>
        <v>Samstag</v>
      </c>
      <c r="B9" s="14">
        <f t="shared" si="2"/>
        <v>45815</v>
      </c>
      <c r="C9" s="20"/>
      <c r="D9" s="11"/>
      <c r="E9" s="38"/>
      <c r="F9" s="21">
        <f t="shared" si="1"/>
        <v>0</v>
      </c>
      <c r="G9" s="5"/>
    </row>
    <row r="10" spans="1:7" ht="15" customHeight="1" x14ac:dyDescent="0.2">
      <c r="A10" s="7" t="str">
        <f t="shared" si="0"/>
        <v>Sonntag</v>
      </c>
      <c r="B10" s="13">
        <f t="shared" si="2"/>
        <v>45816</v>
      </c>
      <c r="C10" s="18"/>
      <c r="D10" s="9"/>
      <c r="E10" s="37"/>
      <c r="F10" s="19">
        <f t="shared" si="1"/>
        <v>0</v>
      </c>
      <c r="G10" s="10"/>
    </row>
    <row r="11" spans="1:7" ht="15" customHeight="1" x14ac:dyDescent="0.2">
      <c r="A11" s="2" t="str">
        <f t="shared" si="0"/>
        <v>Montag</v>
      </c>
      <c r="B11" s="14">
        <f t="shared" si="2"/>
        <v>45817</v>
      </c>
      <c r="C11" s="20"/>
      <c r="D11" s="11"/>
      <c r="E11" s="38"/>
      <c r="F11" s="21">
        <f t="shared" si="1"/>
        <v>0</v>
      </c>
      <c r="G11" s="5"/>
    </row>
    <row r="12" spans="1:7" ht="15" customHeight="1" x14ac:dyDescent="0.2">
      <c r="A12" s="7" t="str">
        <f t="shared" si="0"/>
        <v>Dienstag</v>
      </c>
      <c r="B12" s="13">
        <f t="shared" si="2"/>
        <v>45818</v>
      </c>
      <c r="C12" s="18"/>
      <c r="D12" s="9"/>
      <c r="E12" s="37"/>
      <c r="F12" s="19">
        <f t="shared" si="1"/>
        <v>0</v>
      </c>
      <c r="G12" s="10"/>
    </row>
    <row r="13" spans="1:7" ht="15" customHeight="1" x14ac:dyDescent="0.2">
      <c r="A13" s="2" t="str">
        <f t="shared" si="0"/>
        <v>Mittwoch</v>
      </c>
      <c r="B13" s="14">
        <f t="shared" si="2"/>
        <v>45819</v>
      </c>
      <c r="C13" s="20"/>
      <c r="D13" s="11"/>
      <c r="E13" s="38"/>
      <c r="F13" s="21">
        <f t="shared" si="1"/>
        <v>0</v>
      </c>
      <c r="G13" s="5"/>
    </row>
    <row r="14" spans="1:7" ht="15" customHeight="1" x14ac:dyDescent="0.2">
      <c r="A14" s="7" t="str">
        <f t="shared" si="0"/>
        <v>Donnerstag</v>
      </c>
      <c r="B14" s="13">
        <f t="shared" si="2"/>
        <v>45820</v>
      </c>
      <c r="C14" s="18"/>
      <c r="D14" s="9"/>
      <c r="E14" s="37"/>
      <c r="F14" s="19">
        <f t="shared" si="1"/>
        <v>0</v>
      </c>
      <c r="G14" s="10"/>
    </row>
    <row r="15" spans="1:7" ht="15" customHeight="1" x14ac:dyDescent="0.2">
      <c r="A15" s="2" t="str">
        <f t="shared" si="0"/>
        <v>Freitag</v>
      </c>
      <c r="B15" s="14">
        <f t="shared" si="2"/>
        <v>45821</v>
      </c>
      <c r="C15" s="20"/>
      <c r="D15" s="11"/>
      <c r="E15" s="38"/>
      <c r="F15" s="21">
        <f t="shared" si="1"/>
        <v>0</v>
      </c>
      <c r="G15" s="5"/>
    </row>
    <row r="16" spans="1:7" ht="15" customHeight="1" x14ac:dyDescent="0.2">
      <c r="A16" s="7" t="str">
        <f t="shared" si="0"/>
        <v>Samstag</v>
      </c>
      <c r="B16" s="13">
        <f t="shared" si="2"/>
        <v>45822</v>
      </c>
      <c r="C16" s="18"/>
      <c r="D16" s="9"/>
      <c r="E16" s="37"/>
      <c r="F16" s="19">
        <f t="shared" si="1"/>
        <v>0</v>
      </c>
      <c r="G16" s="10"/>
    </row>
    <row r="17" spans="1:7" ht="15" customHeight="1" x14ac:dyDescent="0.2">
      <c r="A17" s="2" t="str">
        <f t="shared" si="0"/>
        <v>Sonntag</v>
      </c>
      <c r="B17" s="14">
        <f t="shared" si="2"/>
        <v>45823</v>
      </c>
      <c r="C17" s="20"/>
      <c r="D17" s="11"/>
      <c r="E17" s="38"/>
      <c r="F17" s="21">
        <f t="shared" si="1"/>
        <v>0</v>
      </c>
      <c r="G17" s="5"/>
    </row>
    <row r="18" spans="1:7" ht="15" customHeight="1" x14ac:dyDescent="0.2">
      <c r="A18" s="7" t="str">
        <f t="shared" si="0"/>
        <v>Montag</v>
      </c>
      <c r="B18" s="13">
        <f t="shared" si="2"/>
        <v>45824</v>
      </c>
      <c r="C18" s="18"/>
      <c r="D18" s="9"/>
      <c r="E18" s="37"/>
      <c r="F18" s="19">
        <f t="shared" si="1"/>
        <v>0</v>
      </c>
      <c r="G18" s="10"/>
    </row>
    <row r="19" spans="1:7" ht="15" customHeight="1" x14ac:dyDescent="0.2">
      <c r="A19" s="2" t="str">
        <f t="shared" si="0"/>
        <v>Dienstag</v>
      </c>
      <c r="B19" s="14">
        <f t="shared" si="2"/>
        <v>45825</v>
      </c>
      <c r="C19" s="20"/>
      <c r="D19" s="11"/>
      <c r="E19" s="38"/>
      <c r="F19" s="21">
        <f t="shared" si="1"/>
        <v>0</v>
      </c>
      <c r="G19" s="5"/>
    </row>
    <row r="20" spans="1:7" ht="15" customHeight="1" x14ac:dyDescent="0.2">
      <c r="A20" s="7" t="str">
        <f t="shared" si="0"/>
        <v>Mittwoch</v>
      </c>
      <c r="B20" s="13">
        <f t="shared" si="2"/>
        <v>45826</v>
      </c>
      <c r="C20" s="18"/>
      <c r="D20" s="9"/>
      <c r="E20" s="37"/>
      <c r="F20" s="19">
        <f t="shared" si="1"/>
        <v>0</v>
      </c>
      <c r="G20" s="10"/>
    </row>
    <row r="21" spans="1:7" ht="15" customHeight="1" x14ac:dyDescent="0.2">
      <c r="A21" s="2" t="str">
        <f t="shared" si="0"/>
        <v>Donnerstag</v>
      </c>
      <c r="B21" s="14">
        <f t="shared" si="2"/>
        <v>45827</v>
      </c>
      <c r="C21" s="20"/>
      <c r="D21" s="11"/>
      <c r="E21" s="38"/>
      <c r="F21" s="21">
        <f t="shared" si="1"/>
        <v>0</v>
      </c>
      <c r="G21" s="5"/>
    </row>
    <row r="22" spans="1:7" ht="15" customHeight="1" x14ac:dyDescent="0.2">
      <c r="A22" s="7" t="str">
        <f t="shared" si="0"/>
        <v>Freitag</v>
      </c>
      <c r="B22" s="13">
        <f t="shared" si="2"/>
        <v>45828</v>
      </c>
      <c r="C22" s="18"/>
      <c r="D22" s="9"/>
      <c r="E22" s="37"/>
      <c r="F22" s="19">
        <f t="shared" si="1"/>
        <v>0</v>
      </c>
      <c r="G22" s="10"/>
    </row>
    <row r="23" spans="1:7" ht="15" customHeight="1" x14ac:dyDescent="0.2">
      <c r="A23" s="2" t="str">
        <f t="shared" si="0"/>
        <v>Samstag</v>
      </c>
      <c r="B23" s="14">
        <f t="shared" si="2"/>
        <v>45829</v>
      </c>
      <c r="C23" s="20"/>
      <c r="D23" s="11"/>
      <c r="E23" s="38"/>
      <c r="F23" s="21">
        <f t="shared" si="1"/>
        <v>0</v>
      </c>
      <c r="G23" s="5"/>
    </row>
    <row r="24" spans="1:7" ht="15" customHeight="1" x14ac:dyDescent="0.2">
      <c r="A24" s="7" t="str">
        <f t="shared" si="0"/>
        <v>Sonntag</v>
      </c>
      <c r="B24" s="13">
        <f t="shared" si="2"/>
        <v>45830</v>
      </c>
      <c r="C24" s="18"/>
      <c r="D24" s="9"/>
      <c r="E24" s="37"/>
      <c r="F24" s="19">
        <f t="shared" si="1"/>
        <v>0</v>
      </c>
      <c r="G24" s="10"/>
    </row>
    <row r="25" spans="1:7" ht="15" customHeight="1" x14ac:dyDescent="0.2">
      <c r="A25" s="2" t="str">
        <f t="shared" si="0"/>
        <v>Montag</v>
      </c>
      <c r="B25" s="14">
        <f t="shared" si="2"/>
        <v>45831</v>
      </c>
      <c r="C25" s="20"/>
      <c r="D25" s="11"/>
      <c r="E25" s="38"/>
      <c r="F25" s="21">
        <f t="shared" si="1"/>
        <v>0</v>
      </c>
      <c r="G25" s="5"/>
    </row>
    <row r="26" spans="1:7" ht="15" customHeight="1" x14ac:dyDescent="0.2">
      <c r="A26" s="7" t="str">
        <f t="shared" si="0"/>
        <v>Dienstag</v>
      </c>
      <c r="B26" s="13">
        <f t="shared" si="2"/>
        <v>45832</v>
      </c>
      <c r="C26" s="18"/>
      <c r="D26" s="9"/>
      <c r="E26" s="37"/>
      <c r="F26" s="19">
        <f t="shared" si="1"/>
        <v>0</v>
      </c>
      <c r="G26" s="10"/>
    </row>
    <row r="27" spans="1:7" ht="15" customHeight="1" x14ac:dyDescent="0.2">
      <c r="A27" s="2" t="str">
        <f t="shared" si="0"/>
        <v>Mittwoch</v>
      </c>
      <c r="B27" s="14">
        <f t="shared" si="2"/>
        <v>45833</v>
      </c>
      <c r="C27" s="20"/>
      <c r="D27" s="11"/>
      <c r="E27" s="38"/>
      <c r="F27" s="21">
        <f t="shared" si="1"/>
        <v>0</v>
      </c>
      <c r="G27" s="5"/>
    </row>
    <row r="28" spans="1:7" ht="15" customHeight="1" x14ac:dyDescent="0.2">
      <c r="A28" s="7" t="str">
        <f t="shared" si="0"/>
        <v>Donnerstag</v>
      </c>
      <c r="B28" s="13">
        <f t="shared" si="2"/>
        <v>45834</v>
      </c>
      <c r="C28" s="18"/>
      <c r="D28" s="9"/>
      <c r="E28" s="37"/>
      <c r="F28" s="19">
        <f t="shared" si="1"/>
        <v>0</v>
      </c>
      <c r="G28" s="10"/>
    </row>
    <row r="29" spans="1:7" ht="15" customHeight="1" x14ac:dyDescent="0.2">
      <c r="A29" s="2" t="str">
        <f t="shared" si="0"/>
        <v>Freitag</v>
      </c>
      <c r="B29" s="14">
        <f t="shared" si="2"/>
        <v>45835</v>
      </c>
      <c r="C29" s="20"/>
      <c r="D29" s="11"/>
      <c r="E29" s="38"/>
      <c r="F29" s="21">
        <f t="shared" si="1"/>
        <v>0</v>
      </c>
      <c r="G29" s="5"/>
    </row>
    <row r="30" spans="1:7" ht="15" customHeight="1" x14ac:dyDescent="0.2">
      <c r="A30" s="7" t="str">
        <f t="shared" si="0"/>
        <v>Samstag</v>
      </c>
      <c r="B30" s="13">
        <f t="shared" si="2"/>
        <v>45836</v>
      </c>
      <c r="C30" s="18"/>
      <c r="D30" s="9"/>
      <c r="E30" s="37"/>
      <c r="F30" s="19">
        <f t="shared" si="1"/>
        <v>0</v>
      </c>
      <c r="G30" s="10"/>
    </row>
    <row r="31" spans="1:7" ht="15" customHeight="1" x14ac:dyDescent="0.2">
      <c r="A31" s="2" t="str">
        <f t="shared" si="0"/>
        <v>Sonntag</v>
      </c>
      <c r="B31" s="14">
        <f t="shared" si="2"/>
        <v>45837</v>
      </c>
      <c r="C31" s="20"/>
      <c r="D31" s="11"/>
      <c r="E31" s="38"/>
      <c r="F31" s="21">
        <f t="shared" si="1"/>
        <v>0</v>
      </c>
      <c r="G31" s="5"/>
    </row>
    <row r="32" spans="1:7" ht="15" customHeight="1" x14ac:dyDescent="0.2">
      <c r="A32" s="7" t="str">
        <f t="shared" si="0"/>
        <v>Montag</v>
      </c>
      <c r="B32" s="13">
        <f t="shared" si="2"/>
        <v>45838</v>
      </c>
      <c r="C32" s="18"/>
      <c r="D32" s="9"/>
      <c r="E32" s="37"/>
      <c r="F32" s="19">
        <f t="shared" si="1"/>
        <v>0</v>
      </c>
      <c r="G32" s="10"/>
    </row>
    <row r="33" spans="1:7" ht="15" customHeight="1" x14ac:dyDescent="0.2">
      <c r="A33" s="22"/>
      <c r="B33" s="23"/>
      <c r="C33" s="24"/>
      <c r="D33" s="25"/>
      <c r="E33" s="39"/>
      <c r="F33" s="26"/>
      <c r="G33" s="3"/>
    </row>
    <row r="34" spans="1:7" ht="15" x14ac:dyDescent="0.2">
      <c r="D34" s="54" t="s">
        <v>14</v>
      </c>
      <c r="E34" s="55"/>
      <c r="F34" s="34">
        <f>SUMIF(G3:G33,"X",F3:F33)</f>
        <v>0</v>
      </c>
    </row>
    <row r="35" spans="1:7" ht="15" x14ac:dyDescent="0.2">
      <c r="D35" s="54" t="s">
        <v>15</v>
      </c>
      <c r="E35" s="55"/>
      <c r="F35" s="34">
        <f>SUMIF(G3:G33,"",F3:F33)</f>
        <v>0</v>
      </c>
    </row>
  </sheetData>
  <mergeCells count="7">
    <mergeCell ref="G1:G2"/>
    <mergeCell ref="D34:E34"/>
    <mergeCell ref="D35:E35"/>
    <mergeCell ref="A1:A2"/>
    <mergeCell ref="B1:B2"/>
    <mergeCell ref="C1:E1"/>
    <mergeCell ref="F1:F2"/>
  </mergeCells>
  <conditionalFormatting sqref="A3:A33">
    <cfRule type="containsText" dxfId="13" priority="1" operator="containsText" text="Sonntag">
      <formula>NOT(ISERROR(SEARCH("Sonntag",A3)))</formula>
    </cfRule>
    <cfRule type="containsText" dxfId="12" priority="2" operator="containsText" text="Samstag">
      <formula>NOT(ISERROR(SEARCH("Samstag",A3)))</formula>
    </cfRule>
  </conditionalFormatting>
  <pageMargins left="0.7" right="0.7" top="0.78740157499999996" bottom="0.78740157499999996" header="0.3" footer="0.3"/>
  <pageSetup paperSize="9" scale="99" orientation="portrait" r:id="rId1"/>
  <headerFooter>
    <oddHeader>&amp;CJuni 2025</oddHeader>
    <oddFooter>&amp;R&amp;8Andreas Fischer | Wehleweg 4/ Top 43| 1030 Wien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7395F-30F9-4A3D-8515-3189BEBF6AB2}">
  <sheetPr codeName="Tabelle8">
    <pageSetUpPr fitToPage="1"/>
  </sheetPr>
  <dimension ref="A1:G35"/>
  <sheetViews>
    <sheetView view="pageLayout" zoomScaleNormal="100" workbookViewId="0">
      <selection activeCell="C3" sqref="C3"/>
    </sheetView>
  </sheetViews>
  <sheetFormatPr baseColWidth="10" defaultRowHeight="14.25" x14ac:dyDescent="0.2"/>
  <cols>
    <col min="1" max="1" width="15.375" bestFit="1" customWidth="1"/>
    <col min="8" max="8" width="12.625" customWidth="1"/>
  </cols>
  <sheetData>
    <row r="1" spans="1:7" ht="15" customHeight="1" x14ac:dyDescent="0.2">
      <c r="A1" s="56" t="s">
        <v>0</v>
      </c>
      <c r="B1" s="58" t="s">
        <v>1</v>
      </c>
      <c r="C1" s="60" t="s">
        <v>4</v>
      </c>
      <c r="D1" s="61"/>
      <c r="E1" s="61"/>
      <c r="F1" s="62" t="s">
        <v>7</v>
      </c>
      <c r="G1" s="52" t="s">
        <v>8</v>
      </c>
    </row>
    <row r="2" spans="1:7" ht="15" customHeight="1" x14ac:dyDescent="0.2">
      <c r="A2" s="57"/>
      <c r="B2" s="59"/>
      <c r="C2" s="15" t="s">
        <v>2</v>
      </c>
      <c r="D2" s="6" t="s">
        <v>3</v>
      </c>
      <c r="E2" s="35" t="s">
        <v>5</v>
      </c>
      <c r="F2" s="63"/>
      <c r="G2" s="53"/>
    </row>
    <row r="3" spans="1:7" ht="15" customHeight="1" x14ac:dyDescent="0.2">
      <c r="A3" s="1" t="str">
        <f>TEXT(B3,"TTTT")</f>
        <v>Dienstag</v>
      </c>
      <c r="B3" s="12">
        <v>45839</v>
      </c>
      <c r="C3" s="40"/>
      <c r="D3" s="41"/>
      <c r="E3" s="36"/>
      <c r="F3" s="17">
        <f>((D3-C3)*24)-E3</f>
        <v>0</v>
      </c>
      <c r="G3" s="4"/>
    </row>
    <row r="4" spans="1:7" ht="15" customHeight="1" x14ac:dyDescent="0.2">
      <c r="A4" s="7" t="str">
        <f t="shared" ref="A4:A33" si="0">TEXT(B4,"TTTT")</f>
        <v>Mittwoch</v>
      </c>
      <c r="B4" s="13">
        <f>B3+1</f>
        <v>45840</v>
      </c>
      <c r="C4" s="18"/>
      <c r="D4" s="9"/>
      <c r="E4" s="37"/>
      <c r="F4" s="19">
        <f t="shared" ref="F4:F33" si="1">((D4-C4)*24)-E4</f>
        <v>0</v>
      </c>
      <c r="G4" s="10"/>
    </row>
    <row r="5" spans="1:7" ht="15" customHeight="1" x14ac:dyDescent="0.2">
      <c r="A5" s="2" t="str">
        <f t="shared" si="0"/>
        <v>Donnerstag</v>
      </c>
      <c r="B5" s="14">
        <f t="shared" ref="B5:B33" si="2">B4+1</f>
        <v>45841</v>
      </c>
      <c r="C5" s="20"/>
      <c r="D5" s="11"/>
      <c r="E5" s="38"/>
      <c r="F5" s="21">
        <f t="shared" si="1"/>
        <v>0</v>
      </c>
      <c r="G5" s="5"/>
    </row>
    <row r="6" spans="1:7" ht="15" customHeight="1" x14ac:dyDescent="0.2">
      <c r="A6" s="7" t="str">
        <f t="shared" si="0"/>
        <v>Freitag</v>
      </c>
      <c r="B6" s="13">
        <f t="shared" si="2"/>
        <v>45842</v>
      </c>
      <c r="C6" s="18"/>
      <c r="D6" s="9"/>
      <c r="E6" s="37"/>
      <c r="F6" s="19">
        <f t="shared" si="1"/>
        <v>0</v>
      </c>
      <c r="G6" s="10"/>
    </row>
    <row r="7" spans="1:7" ht="15" customHeight="1" x14ac:dyDescent="0.2">
      <c r="A7" s="2" t="str">
        <f t="shared" si="0"/>
        <v>Samstag</v>
      </c>
      <c r="B7" s="14">
        <f t="shared" si="2"/>
        <v>45843</v>
      </c>
      <c r="C7" s="20"/>
      <c r="D7" s="11"/>
      <c r="E7" s="38"/>
      <c r="F7" s="21">
        <f t="shared" si="1"/>
        <v>0</v>
      </c>
      <c r="G7" s="5"/>
    </row>
    <row r="8" spans="1:7" ht="15" customHeight="1" x14ac:dyDescent="0.2">
      <c r="A8" s="7" t="str">
        <f t="shared" si="0"/>
        <v>Sonntag</v>
      </c>
      <c r="B8" s="13">
        <f t="shared" si="2"/>
        <v>45844</v>
      </c>
      <c r="C8" s="18"/>
      <c r="D8" s="9"/>
      <c r="E8" s="37"/>
      <c r="F8" s="19">
        <f t="shared" si="1"/>
        <v>0</v>
      </c>
      <c r="G8" s="10"/>
    </row>
    <row r="9" spans="1:7" ht="15" customHeight="1" x14ac:dyDescent="0.2">
      <c r="A9" s="2" t="str">
        <f t="shared" si="0"/>
        <v>Montag</v>
      </c>
      <c r="B9" s="14">
        <f t="shared" si="2"/>
        <v>45845</v>
      </c>
      <c r="C9" s="20"/>
      <c r="D9" s="11"/>
      <c r="E9" s="38"/>
      <c r="F9" s="21">
        <f t="shared" si="1"/>
        <v>0</v>
      </c>
      <c r="G9" s="5"/>
    </row>
    <row r="10" spans="1:7" ht="15" customHeight="1" x14ac:dyDescent="0.2">
      <c r="A10" s="7" t="str">
        <f t="shared" si="0"/>
        <v>Dienstag</v>
      </c>
      <c r="B10" s="13">
        <f t="shared" si="2"/>
        <v>45846</v>
      </c>
      <c r="C10" s="18"/>
      <c r="D10" s="9"/>
      <c r="E10" s="37"/>
      <c r="F10" s="19">
        <f t="shared" si="1"/>
        <v>0</v>
      </c>
      <c r="G10" s="10"/>
    </row>
    <row r="11" spans="1:7" ht="15" customHeight="1" x14ac:dyDescent="0.2">
      <c r="A11" s="2" t="str">
        <f t="shared" si="0"/>
        <v>Mittwoch</v>
      </c>
      <c r="B11" s="14">
        <f t="shared" si="2"/>
        <v>45847</v>
      </c>
      <c r="C11" s="20"/>
      <c r="D11" s="11"/>
      <c r="E11" s="38"/>
      <c r="F11" s="21">
        <f t="shared" si="1"/>
        <v>0</v>
      </c>
      <c r="G11" s="5"/>
    </row>
    <row r="12" spans="1:7" ht="15" customHeight="1" x14ac:dyDescent="0.2">
      <c r="A12" s="7" t="str">
        <f t="shared" si="0"/>
        <v>Donnerstag</v>
      </c>
      <c r="B12" s="13">
        <f t="shared" si="2"/>
        <v>45848</v>
      </c>
      <c r="C12" s="18"/>
      <c r="D12" s="9"/>
      <c r="E12" s="37"/>
      <c r="F12" s="19">
        <f t="shared" si="1"/>
        <v>0</v>
      </c>
      <c r="G12" s="10"/>
    </row>
    <row r="13" spans="1:7" ht="15" customHeight="1" x14ac:dyDescent="0.2">
      <c r="A13" s="2" t="str">
        <f t="shared" si="0"/>
        <v>Freitag</v>
      </c>
      <c r="B13" s="14">
        <f t="shared" si="2"/>
        <v>45849</v>
      </c>
      <c r="C13" s="20"/>
      <c r="D13" s="11"/>
      <c r="E13" s="38"/>
      <c r="F13" s="21">
        <f t="shared" si="1"/>
        <v>0</v>
      </c>
      <c r="G13" s="5"/>
    </row>
    <row r="14" spans="1:7" ht="15" customHeight="1" x14ac:dyDescent="0.2">
      <c r="A14" s="7" t="str">
        <f t="shared" si="0"/>
        <v>Samstag</v>
      </c>
      <c r="B14" s="13">
        <f t="shared" si="2"/>
        <v>45850</v>
      </c>
      <c r="C14" s="18"/>
      <c r="D14" s="9"/>
      <c r="E14" s="37"/>
      <c r="F14" s="19">
        <f t="shared" si="1"/>
        <v>0</v>
      </c>
      <c r="G14" s="10"/>
    </row>
    <row r="15" spans="1:7" ht="15" customHeight="1" x14ac:dyDescent="0.2">
      <c r="A15" s="2" t="str">
        <f t="shared" si="0"/>
        <v>Sonntag</v>
      </c>
      <c r="B15" s="14">
        <f t="shared" si="2"/>
        <v>45851</v>
      </c>
      <c r="C15" s="20"/>
      <c r="D15" s="11"/>
      <c r="E15" s="38"/>
      <c r="F15" s="21">
        <f t="shared" si="1"/>
        <v>0</v>
      </c>
      <c r="G15" s="5"/>
    </row>
    <row r="16" spans="1:7" ht="15" customHeight="1" x14ac:dyDescent="0.2">
      <c r="A16" s="7" t="str">
        <f t="shared" si="0"/>
        <v>Montag</v>
      </c>
      <c r="B16" s="13">
        <f t="shared" si="2"/>
        <v>45852</v>
      </c>
      <c r="C16" s="18"/>
      <c r="D16" s="9"/>
      <c r="E16" s="37"/>
      <c r="F16" s="19">
        <f t="shared" si="1"/>
        <v>0</v>
      </c>
      <c r="G16" s="10"/>
    </row>
    <row r="17" spans="1:7" ht="15" customHeight="1" x14ac:dyDescent="0.2">
      <c r="A17" s="2" t="str">
        <f t="shared" si="0"/>
        <v>Dienstag</v>
      </c>
      <c r="B17" s="14">
        <f t="shared" si="2"/>
        <v>45853</v>
      </c>
      <c r="C17" s="20"/>
      <c r="D17" s="11"/>
      <c r="E17" s="38"/>
      <c r="F17" s="21">
        <f t="shared" si="1"/>
        <v>0</v>
      </c>
      <c r="G17" s="5"/>
    </row>
    <row r="18" spans="1:7" ht="15" customHeight="1" x14ac:dyDescent="0.2">
      <c r="A18" s="7" t="str">
        <f t="shared" si="0"/>
        <v>Mittwoch</v>
      </c>
      <c r="B18" s="13">
        <f t="shared" si="2"/>
        <v>45854</v>
      </c>
      <c r="C18" s="18"/>
      <c r="D18" s="9"/>
      <c r="E18" s="37"/>
      <c r="F18" s="19">
        <f t="shared" si="1"/>
        <v>0</v>
      </c>
      <c r="G18" s="10"/>
    </row>
    <row r="19" spans="1:7" ht="15" customHeight="1" x14ac:dyDescent="0.2">
      <c r="A19" s="2" t="str">
        <f t="shared" si="0"/>
        <v>Donnerstag</v>
      </c>
      <c r="B19" s="14">
        <f t="shared" si="2"/>
        <v>45855</v>
      </c>
      <c r="C19" s="20"/>
      <c r="D19" s="11"/>
      <c r="E19" s="38"/>
      <c r="F19" s="21">
        <f t="shared" si="1"/>
        <v>0</v>
      </c>
      <c r="G19" s="5"/>
    </row>
    <row r="20" spans="1:7" ht="15" customHeight="1" x14ac:dyDescent="0.2">
      <c r="A20" s="7" t="str">
        <f t="shared" si="0"/>
        <v>Freitag</v>
      </c>
      <c r="B20" s="13">
        <f t="shared" si="2"/>
        <v>45856</v>
      </c>
      <c r="C20" s="18"/>
      <c r="D20" s="9"/>
      <c r="E20" s="37"/>
      <c r="F20" s="19">
        <f t="shared" si="1"/>
        <v>0</v>
      </c>
      <c r="G20" s="10"/>
    </row>
    <row r="21" spans="1:7" ht="15" customHeight="1" x14ac:dyDescent="0.2">
      <c r="A21" s="2" t="str">
        <f t="shared" si="0"/>
        <v>Samstag</v>
      </c>
      <c r="B21" s="14">
        <f t="shared" si="2"/>
        <v>45857</v>
      </c>
      <c r="C21" s="20"/>
      <c r="D21" s="11"/>
      <c r="E21" s="38"/>
      <c r="F21" s="21">
        <f t="shared" si="1"/>
        <v>0</v>
      </c>
      <c r="G21" s="5"/>
    </row>
    <row r="22" spans="1:7" ht="15" customHeight="1" x14ac:dyDescent="0.2">
      <c r="A22" s="7" t="str">
        <f t="shared" si="0"/>
        <v>Sonntag</v>
      </c>
      <c r="B22" s="13">
        <f t="shared" si="2"/>
        <v>45858</v>
      </c>
      <c r="C22" s="18"/>
      <c r="D22" s="9"/>
      <c r="E22" s="37"/>
      <c r="F22" s="19">
        <f t="shared" si="1"/>
        <v>0</v>
      </c>
      <c r="G22" s="10"/>
    </row>
    <row r="23" spans="1:7" ht="15" customHeight="1" x14ac:dyDescent="0.2">
      <c r="A23" s="2" t="str">
        <f t="shared" si="0"/>
        <v>Montag</v>
      </c>
      <c r="B23" s="14">
        <f t="shared" si="2"/>
        <v>45859</v>
      </c>
      <c r="C23" s="20"/>
      <c r="D23" s="11"/>
      <c r="E23" s="38"/>
      <c r="F23" s="21">
        <f t="shared" si="1"/>
        <v>0</v>
      </c>
      <c r="G23" s="5"/>
    </row>
    <row r="24" spans="1:7" ht="15" customHeight="1" x14ac:dyDescent="0.2">
      <c r="A24" s="7" t="str">
        <f t="shared" si="0"/>
        <v>Dienstag</v>
      </c>
      <c r="B24" s="13">
        <f t="shared" si="2"/>
        <v>45860</v>
      </c>
      <c r="C24" s="18"/>
      <c r="D24" s="9"/>
      <c r="E24" s="37"/>
      <c r="F24" s="19">
        <f t="shared" si="1"/>
        <v>0</v>
      </c>
      <c r="G24" s="10"/>
    </row>
    <row r="25" spans="1:7" ht="15" customHeight="1" x14ac:dyDescent="0.2">
      <c r="A25" s="2" t="str">
        <f t="shared" si="0"/>
        <v>Mittwoch</v>
      </c>
      <c r="B25" s="14">
        <f t="shared" si="2"/>
        <v>45861</v>
      </c>
      <c r="C25" s="20"/>
      <c r="D25" s="11"/>
      <c r="E25" s="38"/>
      <c r="F25" s="21">
        <f t="shared" si="1"/>
        <v>0</v>
      </c>
      <c r="G25" s="5"/>
    </row>
    <row r="26" spans="1:7" ht="15" customHeight="1" x14ac:dyDescent="0.2">
      <c r="A26" s="7" t="str">
        <f t="shared" si="0"/>
        <v>Donnerstag</v>
      </c>
      <c r="B26" s="13">
        <f t="shared" si="2"/>
        <v>45862</v>
      </c>
      <c r="C26" s="18"/>
      <c r="D26" s="9"/>
      <c r="E26" s="37"/>
      <c r="F26" s="19">
        <f t="shared" si="1"/>
        <v>0</v>
      </c>
      <c r="G26" s="10"/>
    </row>
    <row r="27" spans="1:7" ht="15" customHeight="1" x14ac:dyDescent="0.2">
      <c r="A27" s="2" t="str">
        <f t="shared" si="0"/>
        <v>Freitag</v>
      </c>
      <c r="B27" s="14">
        <f t="shared" si="2"/>
        <v>45863</v>
      </c>
      <c r="C27" s="20"/>
      <c r="D27" s="11"/>
      <c r="E27" s="38"/>
      <c r="F27" s="21">
        <f t="shared" si="1"/>
        <v>0</v>
      </c>
      <c r="G27" s="5"/>
    </row>
    <row r="28" spans="1:7" ht="15" customHeight="1" x14ac:dyDescent="0.2">
      <c r="A28" s="7" t="str">
        <f t="shared" si="0"/>
        <v>Samstag</v>
      </c>
      <c r="B28" s="13">
        <f t="shared" si="2"/>
        <v>45864</v>
      </c>
      <c r="C28" s="18"/>
      <c r="D28" s="9"/>
      <c r="E28" s="37"/>
      <c r="F28" s="19">
        <f t="shared" si="1"/>
        <v>0</v>
      </c>
      <c r="G28" s="10"/>
    </row>
    <row r="29" spans="1:7" ht="15" customHeight="1" x14ac:dyDescent="0.2">
      <c r="A29" s="2" t="str">
        <f t="shared" si="0"/>
        <v>Sonntag</v>
      </c>
      <c r="B29" s="14">
        <f t="shared" si="2"/>
        <v>45865</v>
      </c>
      <c r="C29" s="20"/>
      <c r="D29" s="11"/>
      <c r="E29" s="38"/>
      <c r="F29" s="21">
        <f t="shared" si="1"/>
        <v>0</v>
      </c>
      <c r="G29" s="5"/>
    </row>
    <row r="30" spans="1:7" ht="15" customHeight="1" x14ac:dyDescent="0.2">
      <c r="A30" s="7" t="str">
        <f t="shared" si="0"/>
        <v>Montag</v>
      </c>
      <c r="B30" s="13">
        <f t="shared" si="2"/>
        <v>45866</v>
      </c>
      <c r="C30" s="18"/>
      <c r="D30" s="9"/>
      <c r="E30" s="37"/>
      <c r="F30" s="19">
        <f t="shared" si="1"/>
        <v>0</v>
      </c>
      <c r="G30" s="10"/>
    </row>
    <row r="31" spans="1:7" ht="15" customHeight="1" x14ac:dyDescent="0.2">
      <c r="A31" s="2" t="str">
        <f t="shared" si="0"/>
        <v>Dienstag</v>
      </c>
      <c r="B31" s="14">
        <f t="shared" si="2"/>
        <v>45867</v>
      </c>
      <c r="C31" s="20"/>
      <c r="D31" s="11"/>
      <c r="E31" s="38"/>
      <c r="F31" s="21">
        <f t="shared" si="1"/>
        <v>0</v>
      </c>
      <c r="G31" s="5"/>
    </row>
    <row r="32" spans="1:7" ht="15" customHeight="1" x14ac:dyDescent="0.2">
      <c r="A32" s="7" t="str">
        <f t="shared" si="0"/>
        <v>Mittwoch</v>
      </c>
      <c r="B32" s="13">
        <f t="shared" si="2"/>
        <v>45868</v>
      </c>
      <c r="C32" s="18"/>
      <c r="D32" s="9"/>
      <c r="E32" s="37"/>
      <c r="F32" s="19">
        <f t="shared" si="1"/>
        <v>0</v>
      </c>
      <c r="G32" s="10"/>
    </row>
    <row r="33" spans="1:7" ht="15" customHeight="1" x14ac:dyDescent="0.2">
      <c r="A33" s="22" t="str">
        <f t="shared" si="0"/>
        <v>Donnerstag</v>
      </c>
      <c r="B33" s="23">
        <f t="shared" si="2"/>
        <v>45869</v>
      </c>
      <c r="C33" s="24"/>
      <c r="D33" s="25"/>
      <c r="E33" s="39"/>
      <c r="F33" s="26">
        <f t="shared" si="1"/>
        <v>0</v>
      </c>
      <c r="G33" s="3"/>
    </row>
    <row r="34" spans="1:7" ht="15" x14ac:dyDescent="0.2">
      <c r="D34" s="54" t="s">
        <v>14</v>
      </c>
      <c r="E34" s="55"/>
      <c r="F34" s="34">
        <f>SUMIF(G3:G33,"X",F3:F33)</f>
        <v>0</v>
      </c>
    </row>
    <row r="35" spans="1:7" ht="15" x14ac:dyDescent="0.2">
      <c r="D35" s="54" t="s">
        <v>15</v>
      </c>
      <c r="E35" s="55"/>
      <c r="F35" s="34">
        <f>SUMIF(G3:G33,"",F3:F33)</f>
        <v>0</v>
      </c>
    </row>
  </sheetData>
  <mergeCells count="7">
    <mergeCell ref="D35:E35"/>
    <mergeCell ref="D34:E34"/>
    <mergeCell ref="F1:F2"/>
    <mergeCell ref="G1:G2"/>
    <mergeCell ref="A1:A2"/>
    <mergeCell ref="B1:B2"/>
    <mergeCell ref="C1:E1"/>
  </mergeCells>
  <conditionalFormatting sqref="A3:A33">
    <cfRule type="containsText" dxfId="11" priority="1" operator="containsText" text="Sonntag">
      <formula>NOT(ISERROR(SEARCH("Sonntag",A3)))</formula>
    </cfRule>
    <cfRule type="containsText" dxfId="10" priority="2" operator="containsText" text="Samstag">
      <formula>NOT(ISERROR(SEARCH("Samstag",A3)))</formula>
    </cfRule>
  </conditionalFormatting>
  <pageMargins left="0.7" right="0.7" top="0.78740157499999996" bottom="0.78740157499999996" header="0.3" footer="0.3"/>
  <pageSetup paperSize="9" scale="99" orientation="portrait" r:id="rId1"/>
  <headerFooter>
    <oddHeader>&amp;CJuli 2025</oddHeader>
    <oddFooter>&amp;R&amp;8Andreas Fischer | Wehleweg 4/ Top 43| 1030 Wien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ECD0B-8EDC-475A-B2B3-09CEB1D85E51}">
  <sheetPr codeName="Tabelle9">
    <pageSetUpPr fitToPage="1"/>
  </sheetPr>
  <dimension ref="A1:G35"/>
  <sheetViews>
    <sheetView view="pageLayout" zoomScaleNormal="100" workbookViewId="0">
      <selection activeCell="C3" sqref="C3"/>
    </sheetView>
  </sheetViews>
  <sheetFormatPr baseColWidth="10" defaultRowHeight="14.25" x14ac:dyDescent="0.2"/>
  <cols>
    <col min="1" max="1" width="15.375" bestFit="1" customWidth="1"/>
    <col min="8" max="8" width="12.625" customWidth="1"/>
  </cols>
  <sheetData>
    <row r="1" spans="1:7" ht="15" customHeight="1" x14ac:dyDescent="0.2">
      <c r="A1" s="56" t="s">
        <v>0</v>
      </c>
      <c r="B1" s="58" t="s">
        <v>1</v>
      </c>
      <c r="C1" s="60" t="s">
        <v>4</v>
      </c>
      <c r="D1" s="61"/>
      <c r="E1" s="61"/>
      <c r="F1" s="62" t="s">
        <v>7</v>
      </c>
      <c r="G1" s="52" t="s">
        <v>8</v>
      </c>
    </row>
    <row r="2" spans="1:7" ht="15" customHeight="1" x14ac:dyDescent="0.2">
      <c r="A2" s="57"/>
      <c r="B2" s="59"/>
      <c r="C2" s="15" t="s">
        <v>2</v>
      </c>
      <c r="D2" s="6" t="s">
        <v>3</v>
      </c>
      <c r="E2" s="35" t="s">
        <v>5</v>
      </c>
      <c r="F2" s="63"/>
      <c r="G2" s="53"/>
    </row>
    <row r="3" spans="1:7" ht="15" customHeight="1" x14ac:dyDescent="0.2">
      <c r="A3" s="1" t="str">
        <f>TEXT(B3,"TTTT")</f>
        <v>Freitag</v>
      </c>
      <c r="B3" s="12">
        <v>45870</v>
      </c>
      <c r="C3" s="16"/>
      <c r="D3" s="8"/>
      <c r="E3" s="36"/>
      <c r="F3" s="17">
        <f>((D3-C3)*24)-E3</f>
        <v>0</v>
      </c>
      <c r="G3" s="4"/>
    </row>
    <row r="4" spans="1:7" ht="15" customHeight="1" x14ac:dyDescent="0.2">
      <c r="A4" s="7" t="str">
        <f t="shared" ref="A4:A33" si="0">TEXT(B4,"TTTT")</f>
        <v>Samstag</v>
      </c>
      <c r="B4" s="13">
        <f>B3+1</f>
        <v>45871</v>
      </c>
      <c r="C4" s="18"/>
      <c r="D4" s="9"/>
      <c r="E4" s="37"/>
      <c r="F4" s="19">
        <f t="shared" ref="F4:F33" si="1">((D4-C4)*24)-E4</f>
        <v>0</v>
      </c>
      <c r="G4" s="10"/>
    </row>
    <row r="5" spans="1:7" ht="15" customHeight="1" x14ac:dyDescent="0.2">
      <c r="A5" s="2" t="str">
        <f t="shared" si="0"/>
        <v>Sonntag</v>
      </c>
      <c r="B5" s="14">
        <f t="shared" ref="B5:B33" si="2">B4+1</f>
        <v>45872</v>
      </c>
      <c r="C5" s="20"/>
      <c r="D5" s="11"/>
      <c r="E5" s="38"/>
      <c r="F5" s="21">
        <f t="shared" si="1"/>
        <v>0</v>
      </c>
      <c r="G5" s="5"/>
    </row>
    <row r="6" spans="1:7" ht="15" customHeight="1" x14ac:dyDescent="0.2">
      <c r="A6" s="7" t="str">
        <f t="shared" si="0"/>
        <v>Montag</v>
      </c>
      <c r="B6" s="13">
        <f t="shared" si="2"/>
        <v>45873</v>
      </c>
      <c r="C6" s="18"/>
      <c r="D6" s="9"/>
      <c r="E6" s="37"/>
      <c r="F6" s="19">
        <f t="shared" si="1"/>
        <v>0</v>
      </c>
      <c r="G6" s="10"/>
    </row>
    <row r="7" spans="1:7" ht="15" customHeight="1" x14ac:dyDescent="0.2">
      <c r="A7" s="2" t="str">
        <f t="shared" si="0"/>
        <v>Dienstag</v>
      </c>
      <c r="B7" s="14">
        <f t="shared" si="2"/>
        <v>45874</v>
      </c>
      <c r="C7" s="20"/>
      <c r="D7" s="11"/>
      <c r="E7" s="38"/>
      <c r="F7" s="21">
        <f t="shared" si="1"/>
        <v>0</v>
      </c>
      <c r="G7" s="5"/>
    </row>
    <row r="8" spans="1:7" ht="15" customHeight="1" x14ac:dyDescent="0.2">
      <c r="A8" s="7" t="str">
        <f t="shared" si="0"/>
        <v>Mittwoch</v>
      </c>
      <c r="B8" s="13">
        <f t="shared" si="2"/>
        <v>45875</v>
      </c>
      <c r="C8" s="18"/>
      <c r="D8" s="9"/>
      <c r="E8" s="37"/>
      <c r="F8" s="19">
        <f t="shared" si="1"/>
        <v>0</v>
      </c>
      <c r="G8" s="10"/>
    </row>
    <row r="9" spans="1:7" ht="15" customHeight="1" x14ac:dyDescent="0.2">
      <c r="A9" s="2" t="str">
        <f t="shared" si="0"/>
        <v>Donnerstag</v>
      </c>
      <c r="B9" s="14">
        <f t="shared" si="2"/>
        <v>45876</v>
      </c>
      <c r="C9" s="20"/>
      <c r="D9" s="11"/>
      <c r="E9" s="38"/>
      <c r="F9" s="21">
        <f t="shared" si="1"/>
        <v>0</v>
      </c>
      <c r="G9" s="5"/>
    </row>
    <row r="10" spans="1:7" ht="15" customHeight="1" x14ac:dyDescent="0.2">
      <c r="A10" s="7" t="str">
        <f t="shared" si="0"/>
        <v>Freitag</v>
      </c>
      <c r="B10" s="13">
        <f t="shared" si="2"/>
        <v>45877</v>
      </c>
      <c r="C10" s="18"/>
      <c r="D10" s="9"/>
      <c r="E10" s="37"/>
      <c r="F10" s="19">
        <f t="shared" si="1"/>
        <v>0</v>
      </c>
      <c r="G10" s="10"/>
    </row>
    <row r="11" spans="1:7" ht="15" customHeight="1" x14ac:dyDescent="0.2">
      <c r="A11" s="2" t="str">
        <f t="shared" si="0"/>
        <v>Samstag</v>
      </c>
      <c r="B11" s="14">
        <f t="shared" si="2"/>
        <v>45878</v>
      </c>
      <c r="C11" s="20"/>
      <c r="D11" s="11"/>
      <c r="E11" s="38"/>
      <c r="F11" s="21">
        <f t="shared" si="1"/>
        <v>0</v>
      </c>
      <c r="G11" s="5"/>
    </row>
    <row r="12" spans="1:7" ht="15" customHeight="1" x14ac:dyDescent="0.2">
      <c r="A12" s="7" t="str">
        <f t="shared" si="0"/>
        <v>Sonntag</v>
      </c>
      <c r="B12" s="13">
        <f t="shared" si="2"/>
        <v>45879</v>
      </c>
      <c r="C12" s="18"/>
      <c r="D12" s="9"/>
      <c r="E12" s="37"/>
      <c r="F12" s="19">
        <f t="shared" si="1"/>
        <v>0</v>
      </c>
      <c r="G12" s="10"/>
    </row>
    <row r="13" spans="1:7" ht="15" customHeight="1" x14ac:dyDescent="0.2">
      <c r="A13" s="2" t="str">
        <f t="shared" si="0"/>
        <v>Montag</v>
      </c>
      <c r="B13" s="14">
        <f t="shared" si="2"/>
        <v>45880</v>
      </c>
      <c r="C13" s="20"/>
      <c r="D13" s="11"/>
      <c r="E13" s="38"/>
      <c r="F13" s="21">
        <f t="shared" si="1"/>
        <v>0</v>
      </c>
      <c r="G13" s="5"/>
    </row>
    <row r="14" spans="1:7" ht="15" customHeight="1" x14ac:dyDescent="0.2">
      <c r="A14" s="7" t="str">
        <f t="shared" si="0"/>
        <v>Dienstag</v>
      </c>
      <c r="B14" s="13">
        <f t="shared" si="2"/>
        <v>45881</v>
      </c>
      <c r="C14" s="18"/>
      <c r="D14" s="9"/>
      <c r="E14" s="37"/>
      <c r="F14" s="19">
        <f t="shared" si="1"/>
        <v>0</v>
      </c>
      <c r="G14" s="10"/>
    </row>
    <row r="15" spans="1:7" ht="15" customHeight="1" x14ac:dyDescent="0.2">
      <c r="A15" s="2" t="str">
        <f t="shared" si="0"/>
        <v>Mittwoch</v>
      </c>
      <c r="B15" s="14">
        <f t="shared" si="2"/>
        <v>45882</v>
      </c>
      <c r="C15" s="20"/>
      <c r="D15" s="11"/>
      <c r="E15" s="38"/>
      <c r="F15" s="21">
        <f t="shared" si="1"/>
        <v>0</v>
      </c>
      <c r="G15" s="5"/>
    </row>
    <row r="16" spans="1:7" ht="15" customHeight="1" x14ac:dyDescent="0.2">
      <c r="A16" s="7" t="str">
        <f t="shared" si="0"/>
        <v>Donnerstag</v>
      </c>
      <c r="B16" s="13">
        <f t="shared" si="2"/>
        <v>45883</v>
      </c>
      <c r="C16" s="18"/>
      <c r="D16" s="9"/>
      <c r="E16" s="37"/>
      <c r="F16" s="19">
        <f t="shared" si="1"/>
        <v>0</v>
      </c>
      <c r="G16" s="10"/>
    </row>
    <row r="17" spans="1:7" ht="15" customHeight="1" x14ac:dyDescent="0.2">
      <c r="A17" s="2" t="str">
        <f t="shared" si="0"/>
        <v>Freitag</v>
      </c>
      <c r="B17" s="14">
        <f t="shared" si="2"/>
        <v>45884</v>
      </c>
      <c r="C17" s="20"/>
      <c r="D17" s="11"/>
      <c r="E17" s="38"/>
      <c r="F17" s="21">
        <f t="shared" si="1"/>
        <v>0</v>
      </c>
      <c r="G17" s="5"/>
    </row>
    <row r="18" spans="1:7" ht="15" customHeight="1" x14ac:dyDescent="0.2">
      <c r="A18" s="7" t="str">
        <f t="shared" si="0"/>
        <v>Samstag</v>
      </c>
      <c r="B18" s="13">
        <f t="shared" si="2"/>
        <v>45885</v>
      </c>
      <c r="C18" s="18"/>
      <c r="D18" s="9"/>
      <c r="E18" s="37"/>
      <c r="F18" s="19">
        <f t="shared" si="1"/>
        <v>0</v>
      </c>
      <c r="G18" s="10"/>
    </row>
    <row r="19" spans="1:7" ht="15" customHeight="1" x14ac:dyDescent="0.2">
      <c r="A19" s="2" t="str">
        <f t="shared" si="0"/>
        <v>Sonntag</v>
      </c>
      <c r="B19" s="14">
        <f t="shared" si="2"/>
        <v>45886</v>
      </c>
      <c r="C19" s="20"/>
      <c r="D19" s="11"/>
      <c r="E19" s="38"/>
      <c r="F19" s="21">
        <f t="shared" si="1"/>
        <v>0</v>
      </c>
      <c r="G19" s="5"/>
    </row>
    <row r="20" spans="1:7" ht="15" customHeight="1" x14ac:dyDescent="0.2">
      <c r="A20" s="7" t="str">
        <f t="shared" si="0"/>
        <v>Montag</v>
      </c>
      <c r="B20" s="13">
        <f t="shared" si="2"/>
        <v>45887</v>
      </c>
      <c r="C20" s="18"/>
      <c r="D20" s="9"/>
      <c r="E20" s="37"/>
      <c r="F20" s="19">
        <f t="shared" si="1"/>
        <v>0</v>
      </c>
      <c r="G20" s="10"/>
    </row>
    <row r="21" spans="1:7" ht="15" customHeight="1" x14ac:dyDescent="0.2">
      <c r="A21" s="2" t="str">
        <f t="shared" si="0"/>
        <v>Dienstag</v>
      </c>
      <c r="B21" s="14">
        <f t="shared" si="2"/>
        <v>45888</v>
      </c>
      <c r="C21" s="20"/>
      <c r="D21" s="11"/>
      <c r="E21" s="38"/>
      <c r="F21" s="21">
        <f t="shared" si="1"/>
        <v>0</v>
      </c>
      <c r="G21" s="5"/>
    </row>
    <row r="22" spans="1:7" ht="15" customHeight="1" x14ac:dyDescent="0.2">
      <c r="A22" s="7" t="str">
        <f t="shared" si="0"/>
        <v>Mittwoch</v>
      </c>
      <c r="B22" s="13">
        <f t="shared" si="2"/>
        <v>45889</v>
      </c>
      <c r="C22" s="18"/>
      <c r="D22" s="9"/>
      <c r="E22" s="37"/>
      <c r="F22" s="19">
        <f t="shared" si="1"/>
        <v>0</v>
      </c>
      <c r="G22" s="10"/>
    </row>
    <row r="23" spans="1:7" ht="15" customHeight="1" x14ac:dyDescent="0.2">
      <c r="A23" s="2" t="str">
        <f t="shared" si="0"/>
        <v>Donnerstag</v>
      </c>
      <c r="B23" s="14">
        <f t="shared" si="2"/>
        <v>45890</v>
      </c>
      <c r="C23" s="20"/>
      <c r="D23" s="11"/>
      <c r="E23" s="38"/>
      <c r="F23" s="21">
        <f t="shared" si="1"/>
        <v>0</v>
      </c>
      <c r="G23" s="5"/>
    </row>
    <row r="24" spans="1:7" ht="15" customHeight="1" x14ac:dyDescent="0.2">
      <c r="A24" s="7" t="str">
        <f t="shared" si="0"/>
        <v>Freitag</v>
      </c>
      <c r="B24" s="13">
        <f t="shared" si="2"/>
        <v>45891</v>
      </c>
      <c r="C24" s="18"/>
      <c r="D24" s="9"/>
      <c r="E24" s="37"/>
      <c r="F24" s="19">
        <f t="shared" si="1"/>
        <v>0</v>
      </c>
      <c r="G24" s="10"/>
    </row>
    <row r="25" spans="1:7" ht="15" customHeight="1" x14ac:dyDescent="0.2">
      <c r="A25" s="2" t="str">
        <f t="shared" si="0"/>
        <v>Samstag</v>
      </c>
      <c r="B25" s="14">
        <f t="shared" si="2"/>
        <v>45892</v>
      </c>
      <c r="C25" s="20"/>
      <c r="D25" s="11"/>
      <c r="E25" s="38"/>
      <c r="F25" s="21">
        <f t="shared" si="1"/>
        <v>0</v>
      </c>
      <c r="G25" s="5"/>
    </row>
    <row r="26" spans="1:7" ht="15" customHeight="1" x14ac:dyDescent="0.2">
      <c r="A26" s="7" t="str">
        <f t="shared" si="0"/>
        <v>Sonntag</v>
      </c>
      <c r="B26" s="13">
        <f t="shared" si="2"/>
        <v>45893</v>
      </c>
      <c r="C26" s="18"/>
      <c r="D26" s="9"/>
      <c r="E26" s="37"/>
      <c r="F26" s="19">
        <f t="shared" si="1"/>
        <v>0</v>
      </c>
      <c r="G26" s="10"/>
    </row>
    <row r="27" spans="1:7" ht="15" customHeight="1" x14ac:dyDescent="0.2">
      <c r="A27" s="2" t="str">
        <f t="shared" si="0"/>
        <v>Montag</v>
      </c>
      <c r="B27" s="14">
        <f t="shared" si="2"/>
        <v>45894</v>
      </c>
      <c r="C27" s="20"/>
      <c r="D27" s="11"/>
      <c r="E27" s="38"/>
      <c r="F27" s="21">
        <f t="shared" si="1"/>
        <v>0</v>
      </c>
      <c r="G27" s="5"/>
    </row>
    <row r="28" spans="1:7" ht="15" customHeight="1" x14ac:dyDescent="0.2">
      <c r="A28" s="7" t="str">
        <f t="shared" si="0"/>
        <v>Dienstag</v>
      </c>
      <c r="B28" s="13">
        <f t="shared" si="2"/>
        <v>45895</v>
      </c>
      <c r="C28" s="18"/>
      <c r="D28" s="9"/>
      <c r="E28" s="37"/>
      <c r="F28" s="19">
        <f t="shared" si="1"/>
        <v>0</v>
      </c>
      <c r="G28" s="10"/>
    </row>
    <row r="29" spans="1:7" ht="15" customHeight="1" x14ac:dyDescent="0.2">
      <c r="A29" s="2" t="str">
        <f t="shared" si="0"/>
        <v>Mittwoch</v>
      </c>
      <c r="B29" s="14">
        <f t="shared" si="2"/>
        <v>45896</v>
      </c>
      <c r="C29" s="20"/>
      <c r="D29" s="11"/>
      <c r="E29" s="38"/>
      <c r="F29" s="21">
        <f t="shared" si="1"/>
        <v>0</v>
      </c>
      <c r="G29" s="5"/>
    </row>
    <row r="30" spans="1:7" ht="15" customHeight="1" x14ac:dyDescent="0.2">
      <c r="A30" s="7" t="str">
        <f t="shared" si="0"/>
        <v>Donnerstag</v>
      </c>
      <c r="B30" s="13">
        <f t="shared" si="2"/>
        <v>45897</v>
      </c>
      <c r="C30" s="18"/>
      <c r="D30" s="9"/>
      <c r="E30" s="37"/>
      <c r="F30" s="19">
        <f t="shared" si="1"/>
        <v>0</v>
      </c>
      <c r="G30" s="10"/>
    </row>
    <row r="31" spans="1:7" ht="15" customHeight="1" x14ac:dyDescent="0.2">
      <c r="A31" s="2" t="str">
        <f t="shared" si="0"/>
        <v>Freitag</v>
      </c>
      <c r="B31" s="14">
        <f t="shared" si="2"/>
        <v>45898</v>
      </c>
      <c r="C31" s="20"/>
      <c r="D31" s="11"/>
      <c r="E31" s="38"/>
      <c r="F31" s="21">
        <f t="shared" si="1"/>
        <v>0</v>
      </c>
      <c r="G31" s="5"/>
    </row>
    <row r="32" spans="1:7" ht="15" customHeight="1" x14ac:dyDescent="0.2">
      <c r="A32" s="7" t="str">
        <f t="shared" si="0"/>
        <v>Samstag</v>
      </c>
      <c r="B32" s="13">
        <f t="shared" si="2"/>
        <v>45899</v>
      </c>
      <c r="C32" s="18"/>
      <c r="D32" s="9"/>
      <c r="E32" s="37"/>
      <c r="F32" s="19">
        <f t="shared" si="1"/>
        <v>0</v>
      </c>
      <c r="G32" s="10"/>
    </row>
    <row r="33" spans="1:7" ht="15" customHeight="1" x14ac:dyDescent="0.2">
      <c r="A33" s="22" t="str">
        <f t="shared" si="0"/>
        <v>Sonntag</v>
      </c>
      <c r="B33" s="23">
        <f t="shared" si="2"/>
        <v>45900</v>
      </c>
      <c r="C33" s="24"/>
      <c r="D33" s="25"/>
      <c r="E33" s="39"/>
      <c r="F33" s="26">
        <f t="shared" si="1"/>
        <v>0</v>
      </c>
      <c r="G33" s="3"/>
    </row>
    <row r="34" spans="1:7" ht="15" x14ac:dyDescent="0.2">
      <c r="D34" s="54" t="s">
        <v>14</v>
      </c>
      <c r="E34" s="55"/>
      <c r="F34" s="34">
        <f>SUMIF(G3:G33,"X",F3:F33)</f>
        <v>0</v>
      </c>
    </row>
    <row r="35" spans="1:7" ht="15" x14ac:dyDescent="0.2">
      <c r="D35" s="54" t="s">
        <v>15</v>
      </c>
      <c r="E35" s="55"/>
      <c r="F35" s="34">
        <f>SUMIF(G3:G33,"",F3:F33)</f>
        <v>0</v>
      </c>
    </row>
  </sheetData>
  <mergeCells count="7">
    <mergeCell ref="G1:G2"/>
    <mergeCell ref="D34:E34"/>
    <mergeCell ref="D35:E35"/>
    <mergeCell ref="A1:A2"/>
    <mergeCell ref="B1:B2"/>
    <mergeCell ref="C1:E1"/>
    <mergeCell ref="F1:F2"/>
  </mergeCells>
  <conditionalFormatting sqref="A3:A33">
    <cfRule type="containsText" dxfId="9" priority="1" operator="containsText" text="Sonntag">
      <formula>NOT(ISERROR(SEARCH("Sonntag",A3)))</formula>
    </cfRule>
    <cfRule type="containsText" dxfId="8" priority="2" operator="containsText" text="Samstag">
      <formula>NOT(ISERROR(SEARCH("Samstag",A3)))</formula>
    </cfRule>
  </conditionalFormatting>
  <pageMargins left="0.7" right="0.7" top="0.78740157499999996" bottom="0.78740157499999996" header="0.3" footer="0.3"/>
  <pageSetup paperSize="9" scale="99" orientation="portrait" r:id="rId1"/>
  <headerFooter>
    <oddHeader>&amp;CAugust 2025</oddHeader>
    <oddFooter>&amp;R&amp;8Andreas Fischer | Wehleweg 4/ Top 43| 1030 Wien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0E88F-3EC9-40F7-8B2A-1E85CB5655A9}">
  <sheetPr codeName="Tabelle10">
    <pageSetUpPr fitToPage="1"/>
  </sheetPr>
  <dimension ref="A1:G35"/>
  <sheetViews>
    <sheetView view="pageLayout" zoomScaleNormal="100" workbookViewId="0">
      <selection activeCell="C3" sqref="C3"/>
    </sheetView>
  </sheetViews>
  <sheetFormatPr baseColWidth="10" defaultRowHeight="14.25" x14ac:dyDescent="0.2"/>
  <cols>
    <col min="1" max="1" width="15.375" bestFit="1" customWidth="1"/>
    <col min="8" max="8" width="12.625" customWidth="1"/>
  </cols>
  <sheetData>
    <row r="1" spans="1:7" ht="15" customHeight="1" x14ac:dyDescent="0.2">
      <c r="A1" s="56" t="s">
        <v>0</v>
      </c>
      <c r="B1" s="58" t="s">
        <v>1</v>
      </c>
      <c r="C1" s="60" t="s">
        <v>4</v>
      </c>
      <c r="D1" s="61"/>
      <c r="E1" s="61"/>
      <c r="F1" s="62" t="s">
        <v>7</v>
      </c>
      <c r="G1" s="52" t="s">
        <v>8</v>
      </c>
    </row>
    <row r="2" spans="1:7" ht="15" customHeight="1" x14ac:dyDescent="0.2">
      <c r="A2" s="57"/>
      <c r="B2" s="59"/>
      <c r="C2" s="15" t="s">
        <v>2</v>
      </c>
      <c r="D2" s="6" t="s">
        <v>3</v>
      </c>
      <c r="E2" s="35" t="s">
        <v>5</v>
      </c>
      <c r="F2" s="63"/>
      <c r="G2" s="53"/>
    </row>
    <row r="3" spans="1:7" ht="15" customHeight="1" x14ac:dyDescent="0.2">
      <c r="A3" s="1" t="str">
        <f>TEXT(B3,"TTTT")</f>
        <v>Montag</v>
      </c>
      <c r="B3" s="12">
        <v>45901</v>
      </c>
      <c r="C3" s="16"/>
      <c r="D3" s="8"/>
      <c r="E3" s="36"/>
      <c r="F3" s="17">
        <f>((D3-C3)*24)-E3</f>
        <v>0</v>
      </c>
      <c r="G3" s="4"/>
    </row>
    <row r="4" spans="1:7" ht="15" customHeight="1" x14ac:dyDescent="0.2">
      <c r="A4" s="7" t="str">
        <f t="shared" ref="A4:A32" si="0">TEXT(B4,"TTTT")</f>
        <v>Dienstag</v>
      </c>
      <c r="B4" s="13">
        <f>B3+1</f>
        <v>45902</v>
      </c>
      <c r="C4" s="18"/>
      <c r="D4" s="9"/>
      <c r="E4" s="37"/>
      <c r="F4" s="19">
        <f t="shared" ref="F4:F32" si="1">((D4-C4)*24)-E4</f>
        <v>0</v>
      </c>
      <c r="G4" s="10"/>
    </row>
    <row r="5" spans="1:7" ht="15" customHeight="1" x14ac:dyDescent="0.2">
      <c r="A5" s="2" t="str">
        <f t="shared" si="0"/>
        <v>Mittwoch</v>
      </c>
      <c r="B5" s="14">
        <f t="shared" ref="B5:B32" si="2">B4+1</f>
        <v>45903</v>
      </c>
      <c r="C5" s="20"/>
      <c r="D5" s="11"/>
      <c r="E5" s="38"/>
      <c r="F5" s="21">
        <f t="shared" si="1"/>
        <v>0</v>
      </c>
      <c r="G5" s="5"/>
    </row>
    <row r="6" spans="1:7" ht="15" customHeight="1" x14ac:dyDescent="0.2">
      <c r="A6" s="7" t="str">
        <f t="shared" si="0"/>
        <v>Donnerstag</v>
      </c>
      <c r="B6" s="13">
        <f t="shared" si="2"/>
        <v>45904</v>
      </c>
      <c r="C6" s="18"/>
      <c r="D6" s="9"/>
      <c r="E6" s="37"/>
      <c r="F6" s="19">
        <f t="shared" si="1"/>
        <v>0</v>
      </c>
      <c r="G6" s="10"/>
    </row>
    <row r="7" spans="1:7" ht="15" customHeight="1" x14ac:dyDescent="0.2">
      <c r="A7" s="2" t="str">
        <f t="shared" si="0"/>
        <v>Freitag</v>
      </c>
      <c r="B7" s="14">
        <f t="shared" si="2"/>
        <v>45905</v>
      </c>
      <c r="C7" s="20"/>
      <c r="D7" s="11"/>
      <c r="E7" s="38"/>
      <c r="F7" s="21">
        <f t="shared" si="1"/>
        <v>0</v>
      </c>
      <c r="G7" s="5"/>
    </row>
    <row r="8" spans="1:7" ht="15" customHeight="1" x14ac:dyDescent="0.2">
      <c r="A8" s="7" t="str">
        <f t="shared" si="0"/>
        <v>Samstag</v>
      </c>
      <c r="B8" s="13">
        <f t="shared" si="2"/>
        <v>45906</v>
      </c>
      <c r="C8" s="18"/>
      <c r="D8" s="9"/>
      <c r="E8" s="37"/>
      <c r="F8" s="19">
        <f t="shared" si="1"/>
        <v>0</v>
      </c>
      <c r="G8" s="10"/>
    </row>
    <row r="9" spans="1:7" ht="15" customHeight="1" x14ac:dyDescent="0.2">
      <c r="A9" s="2" t="str">
        <f t="shared" si="0"/>
        <v>Sonntag</v>
      </c>
      <c r="B9" s="14">
        <f t="shared" si="2"/>
        <v>45907</v>
      </c>
      <c r="C9" s="20"/>
      <c r="D9" s="11"/>
      <c r="E9" s="38"/>
      <c r="F9" s="21">
        <f t="shared" si="1"/>
        <v>0</v>
      </c>
      <c r="G9" s="5"/>
    </row>
    <row r="10" spans="1:7" ht="15" customHeight="1" x14ac:dyDescent="0.2">
      <c r="A10" s="7" t="str">
        <f t="shared" si="0"/>
        <v>Montag</v>
      </c>
      <c r="B10" s="13">
        <f t="shared" si="2"/>
        <v>45908</v>
      </c>
      <c r="C10" s="18"/>
      <c r="D10" s="9"/>
      <c r="E10" s="37"/>
      <c r="F10" s="19">
        <f t="shared" si="1"/>
        <v>0</v>
      </c>
      <c r="G10" s="10"/>
    </row>
    <row r="11" spans="1:7" ht="15" customHeight="1" x14ac:dyDescent="0.2">
      <c r="A11" s="2" t="str">
        <f t="shared" si="0"/>
        <v>Dienstag</v>
      </c>
      <c r="B11" s="14">
        <f t="shared" si="2"/>
        <v>45909</v>
      </c>
      <c r="C11" s="20"/>
      <c r="D11" s="11"/>
      <c r="E11" s="38"/>
      <c r="F11" s="21">
        <f t="shared" si="1"/>
        <v>0</v>
      </c>
      <c r="G11" s="5"/>
    </row>
    <row r="12" spans="1:7" ht="15" customHeight="1" x14ac:dyDescent="0.2">
      <c r="A12" s="7" t="str">
        <f t="shared" si="0"/>
        <v>Mittwoch</v>
      </c>
      <c r="B12" s="13">
        <f t="shared" si="2"/>
        <v>45910</v>
      </c>
      <c r="C12" s="18"/>
      <c r="D12" s="9"/>
      <c r="E12" s="37"/>
      <c r="F12" s="19">
        <f t="shared" si="1"/>
        <v>0</v>
      </c>
      <c r="G12" s="10"/>
    </row>
    <row r="13" spans="1:7" ht="15" customHeight="1" x14ac:dyDescent="0.2">
      <c r="A13" s="2" t="str">
        <f t="shared" si="0"/>
        <v>Donnerstag</v>
      </c>
      <c r="B13" s="14">
        <f t="shared" si="2"/>
        <v>45911</v>
      </c>
      <c r="C13" s="20"/>
      <c r="D13" s="11"/>
      <c r="E13" s="38"/>
      <c r="F13" s="21">
        <f t="shared" si="1"/>
        <v>0</v>
      </c>
      <c r="G13" s="5"/>
    </row>
    <row r="14" spans="1:7" ht="15" customHeight="1" x14ac:dyDescent="0.2">
      <c r="A14" s="7" t="str">
        <f t="shared" si="0"/>
        <v>Freitag</v>
      </c>
      <c r="B14" s="13">
        <f t="shared" si="2"/>
        <v>45912</v>
      </c>
      <c r="C14" s="18"/>
      <c r="D14" s="9"/>
      <c r="E14" s="37"/>
      <c r="F14" s="19">
        <f t="shared" si="1"/>
        <v>0</v>
      </c>
      <c r="G14" s="10"/>
    </row>
    <row r="15" spans="1:7" ht="15" customHeight="1" x14ac:dyDescent="0.2">
      <c r="A15" s="2" t="str">
        <f t="shared" si="0"/>
        <v>Samstag</v>
      </c>
      <c r="B15" s="14">
        <f t="shared" si="2"/>
        <v>45913</v>
      </c>
      <c r="C15" s="20"/>
      <c r="D15" s="11"/>
      <c r="E15" s="38"/>
      <c r="F15" s="21">
        <f t="shared" si="1"/>
        <v>0</v>
      </c>
      <c r="G15" s="5"/>
    </row>
    <row r="16" spans="1:7" ht="15" customHeight="1" x14ac:dyDescent="0.2">
      <c r="A16" s="7" t="str">
        <f t="shared" si="0"/>
        <v>Sonntag</v>
      </c>
      <c r="B16" s="13">
        <f t="shared" si="2"/>
        <v>45914</v>
      </c>
      <c r="C16" s="18"/>
      <c r="D16" s="9"/>
      <c r="E16" s="37"/>
      <c r="F16" s="19">
        <f t="shared" si="1"/>
        <v>0</v>
      </c>
      <c r="G16" s="10"/>
    </row>
    <row r="17" spans="1:7" ht="15" customHeight="1" x14ac:dyDescent="0.2">
      <c r="A17" s="2" t="str">
        <f t="shared" si="0"/>
        <v>Montag</v>
      </c>
      <c r="B17" s="14">
        <f t="shared" si="2"/>
        <v>45915</v>
      </c>
      <c r="C17" s="20"/>
      <c r="D17" s="11"/>
      <c r="E17" s="38"/>
      <c r="F17" s="21">
        <f t="shared" si="1"/>
        <v>0</v>
      </c>
      <c r="G17" s="5"/>
    </row>
    <row r="18" spans="1:7" ht="15" customHeight="1" x14ac:dyDescent="0.2">
      <c r="A18" s="7" t="str">
        <f t="shared" si="0"/>
        <v>Dienstag</v>
      </c>
      <c r="B18" s="13">
        <f t="shared" si="2"/>
        <v>45916</v>
      </c>
      <c r="C18" s="18"/>
      <c r="D18" s="9"/>
      <c r="E18" s="37"/>
      <c r="F18" s="19">
        <f t="shared" si="1"/>
        <v>0</v>
      </c>
      <c r="G18" s="10"/>
    </row>
    <row r="19" spans="1:7" ht="15" customHeight="1" x14ac:dyDescent="0.2">
      <c r="A19" s="2" t="str">
        <f t="shared" si="0"/>
        <v>Mittwoch</v>
      </c>
      <c r="B19" s="14">
        <f t="shared" si="2"/>
        <v>45917</v>
      </c>
      <c r="C19" s="20"/>
      <c r="D19" s="11"/>
      <c r="E19" s="38"/>
      <c r="F19" s="21">
        <f t="shared" si="1"/>
        <v>0</v>
      </c>
      <c r="G19" s="5"/>
    </row>
    <row r="20" spans="1:7" ht="15" customHeight="1" x14ac:dyDescent="0.2">
      <c r="A20" s="7" t="str">
        <f t="shared" si="0"/>
        <v>Donnerstag</v>
      </c>
      <c r="B20" s="13">
        <f t="shared" si="2"/>
        <v>45918</v>
      </c>
      <c r="C20" s="18"/>
      <c r="D20" s="9"/>
      <c r="E20" s="37"/>
      <c r="F20" s="19">
        <f t="shared" si="1"/>
        <v>0</v>
      </c>
      <c r="G20" s="10"/>
    </row>
    <row r="21" spans="1:7" ht="15" customHeight="1" x14ac:dyDescent="0.2">
      <c r="A21" s="2" t="str">
        <f t="shared" si="0"/>
        <v>Freitag</v>
      </c>
      <c r="B21" s="14">
        <f t="shared" si="2"/>
        <v>45919</v>
      </c>
      <c r="C21" s="20"/>
      <c r="D21" s="11"/>
      <c r="E21" s="38"/>
      <c r="F21" s="21">
        <f t="shared" si="1"/>
        <v>0</v>
      </c>
      <c r="G21" s="5"/>
    </row>
    <row r="22" spans="1:7" ht="15" customHeight="1" x14ac:dyDescent="0.2">
      <c r="A22" s="7" t="str">
        <f t="shared" si="0"/>
        <v>Samstag</v>
      </c>
      <c r="B22" s="13">
        <f t="shared" si="2"/>
        <v>45920</v>
      </c>
      <c r="C22" s="18"/>
      <c r="D22" s="9"/>
      <c r="E22" s="37"/>
      <c r="F22" s="19">
        <f t="shared" si="1"/>
        <v>0</v>
      </c>
      <c r="G22" s="10"/>
    </row>
    <row r="23" spans="1:7" ht="15" customHeight="1" x14ac:dyDescent="0.2">
      <c r="A23" s="2" t="str">
        <f t="shared" si="0"/>
        <v>Sonntag</v>
      </c>
      <c r="B23" s="14">
        <f t="shared" si="2"/>
        <v>45921</v>
      </c>
      <c r="C23" s="20"/>
      <c r="D23" s="11"/>
      <c r="E23" s="38"/>
      <c r="F23" s="21">
        <f t="shared" si="1"/>
        <v>0</v>
      </c>
      <c r="G23" s="5"/>
    </row>
    <row r="24" spans="1:7" ht="15" customHeight="1" x14ac:dyDescent="0.2">
      <c r="A24" s="7" t="str">
        <f t="shared" si="0"/>
        <v>Montag</v>
      </c>
      <c r="B24" s="13">
        <f t="shared" si="2"/>
        <v>45922</v>
      </c>
      <c r="C24" s="18"/>
      <c r="D24" s="9"/>
      <c r="E24" s="37"/>
      <c r="F24" s="19">
        <f t="shared" si="1"/>
        <v>0</v>
      </c>
      <c r="G24" s="10"/>
    </row>
    <row r="25" spans="1:7" ht="15" customHeight="1" x14ac:dyDescent="0.2">
      <c r="A25" s="2" t="str">
        <f t="shared" si="0"/>
        <v>Dienstag</v>
      </c>
      <c r="B25" s="14">
        <f t="shared" si="2"/>
        <v>45923</v>
      </c>
      <c r="C25" s="20"/>
      <c r="D25" s="11"/>
      <c r="E25" s="38"/>
      <c r="F25" s="21">
        <f t="shared" si="1"/>
        <v>0</v>
      </c>
      <c r="G25" s="5"/>
    </row>
    <row r="26" spans="1:7" ht="15" customHeight="1" x14ac:dyDescent="0.2">
      <c r="A26" s="7" t="str">
        <f t="shared" si="0"/>
        <v>Mittwoch</v>
      </c>
      <c r="B26" s="13">
        <f t="shared" si="2"/>
        <v>45924</v>
      </c>
      <c r="C26" s="18"/>
      <c r="D26" s="9"/>
      <c r="E26" s="37"/>
      <c r="F26" s="19">
        <f t="shared" si="1"/>
        <v>0</v>
      </c>
      <c r="G26" s="10"/>
    </row>
    <row r="27" spans="1:7" ht="15" customHeight="1" x14ac:dyDescent="0.2">
      <c r="A27" s="2" t="str">
        <f t="shared" si="0"/>
        <v>Donnerstag</v>
      </c>
      <c r="B27" s="14">
        <f t="shared" si="2"/>
        <v>45925</v>
      </c>
      <c r="C27" s="20"/>
      <c r="D27" s="11"/>
      <c r="E27" s="38"/>
      <c r="F27" s="21">
        <f t="shared" si="1"/>
        <v>0</v>
      </c>
      <c r="G27" s="5"/>
    </row>
    <row r="28" spans="1:7" ht="15" customHeight="1" x14ac:dyDescent="0.2">
      <c r="A28" s="7" t="str">
        <f t="shared" si="0"/>
        <v>Freitag</v>
      </c>
      <c r="B28" s="13">
        <f t="shared" si="2"/>
        <v>45926</v>
      </c>
      <c r="C28" s="18"/>
      <c r="D28" s="9"/>
      <c r="E28" s="37"/>
      <c r="F28" s="19">
        <f t="shared" si="1"/>
        <v>0</v>
      </c>
      <c r="G28" s="10"/>
    </row>
    <row r="29" spans="1:7" ht="15" customHeight="1" x14ac:dyDescent="0.2">
      <c r="A29" s="2" t="str">
        <f t="shared" si="0"/>
        <v>Samstag</v>
      </c>
      <c r="B29" s="14">
        <f t="shared" si="2"/>
        <v>45927</v>
      </c>
      <c r="C29" s="20"/>
      <c r="D29" s="11"/>
      <c r="E29" s="38"/>
      <c r="F29" s="21">
        <f t="shared" si="1"/>
        <v>0</v>
      </c>
      <c r="G29" s="5"/>
    </row>
    <row r="30" spans="1:7" ht="15" customHeight="1" x14ac:dyDescent="0.2">
      <c r="A30" s="7" t="str">
        <f t="shared" si="0"/>
        <v>Sonntag</v>
      </c>
      <c r="B30" s="13">
        <f t="shared" si="2"/>
        <v>45928</v>
      </c>
      <c r="C30" s="18"/>
      <c r="D30" s="9"/>
      <c r="E30" s="37"/>
      <c r="F30" s="19">
        <f t="shared" si="1"/>
        <v>0</v>
      </c>
      <c r="G30" s="10"/>
    </row>
    <row r="31" spans="1:7" ht="15" customHeight="1" x14ac:dyDescent="0.2">
      <c r="A31" s="2" t="str">
        <f t="shared" si="0"/>
        <v>Montag</v>
      </c>
      <c r="B31" s="14">
        <f t="shared" si="2"/>
        <v>45929</v>
      </c>
      <c r="C31" s="20"/>
      <c r="D31" s="11"/>
      <c r="E31" s="38"/>
      <c r="F31" s="21">
        <f t="shared" si="1"/>
        <v>0</v>
      </c>
      <c r="G31" s="5"/>
    </row>
    <row r="32" spans="1:7" ht="15" customHeight="1" x14ac:dyDescent="0.2">
      <c r="A32" s="7" t="str">
        <f t="shared" si="0"/>
        <v>Dienstag</v>
      </c>
      <c r="B32" s="13">
        <f t="shared" si="2"/>
        <v>45930</v>
      </c>
      <c r="C32" s="18"/>
      <c r="D32" s="9"/>
      <c r="E32" s="37"/>
      <c r="F32" s="19">
        <f t="shared" si="1"/>
        <v>0</v>
      </c>
      <c r="G32" s="10"/>
    </row>
    <row r="33" spans="1:7" ht="15" customHeight="1" x14ac:dyDescent="0.2">
      <c r="A33" s="22"/>
      <c r="B33" s="23"/>
      <c r="C33" s="24"/>
      <c r="D33" s="25"/>
      <c r="E33" s="39"/>
      <c r="F33" s="26"/>
      <c r="G33" s="3"/>
    </row>
    <row r="34" spans="1:7" ht="15" x14ac:dyDescent="0.2">
      <c r="D34" s="54" t="s">
        <v>14</v>
      </c>
      <c r="E34" s="55"/>
      <c r="F34" s="34">
        <f>SUMIF(G3:G33,"X",F3:F33)</f>
        <v>0</v>
      </c>
    </row>
    <row r="35" spans="1:7" ht="15" x14ac:dyDescent="0.2">
      <c r="D35" s="54" t="s">
        <v>15</v>
      </c>
      <c r="E35" s="55"/>
      <c r="F35" s="34">
        <f>SUMIF(G3:G33,"",F3:F33)</f>
        <v>0</v>
      </c>
    </row>
  </sheetData>
  <mergeCells count="7">
    <mergeCell ref="G1:G2"/>
    <mergeCell ref="D34:E34"/>
    <mergeCell ref="D35:E35"/>
    <mergeCell ref="A1:A2"/>
    <mergeCell ref="B1:B2"/>
    <mergeCell ref="C1:E1"/>
    <mergeCell ref="F1:F2"/>
  </mergeCells>
  <conditionalFormatting sqref="A3:A33">
    <cfRule type="containsText" dxfId="7" priority="1" operator="containsText" text="Sonntag">
      <formula>NOT(ISERROR(SEARCH("Sonntag",A3)))</formula>
    </cfRule>
    <cfRule type="containsText" dxfId="6" priority="2" operator="containsText" text="Samstag">
      <formula>NOT(ISERROR(SEARCH("Samstag",A3)))</formula>
    </cfRule>
  </conditionalFormatting>
  <pageMargins left="0.7" right="0.7" top="0.78740157499999996" bottom="0.78740157499999996" header="0.3" footer="0.3"/>
  <pageSetup paperSize="9" scale="99" orientation="portrait" r:id="rId1"/>
  <headerFooter>
    <oddHeader>&amp;CSeptember 2025</oddHeader>
    <oddFooter>&amp;R&amp;8Andreas Fischer | Wehleweg 4/ Top 43| 1030 Wien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DCA2-96DF-46FB-A8E3-238436BC2F6B}">
  <sheetPr codeName="Tabelle11">
    <pageSetUpPr fitToPage="1"/>
  </sheetPr>
  <dimension ref="A1:G35"/>
  <sheetViews>
    <sheetView view="pageLayout" zoomScaleNormal="100" workbookViewId="0">
      <selection activeCell="C3" sqref="C3"/>
    </sheetView>
  </sheetViews>
  <sheetFormatPr baseColWidth="10" defaultRowHeight="14.25" x14ac:dyDescent="0.2"/>
  <cols>
    <col min="1" max="1" width="15.375" bestFit="1" customWidth="1"/>
    <col min="8" max="8" width="12.625" customWidth="1"/>
  </cols>
  <sheetData>
    <row r="1" spans="1:7" ht="15" customHeight="1" x14ac:dyDescent="0.2">
      <c r="A1" s="56" t="s">
        <v>0</v>
      </c>
      <c r="B1" s="58" t="s">
        <v>1</v>
      </c>
      <c r="C1" s="60" t="s">
        <v>4</v>
      </c>
      <c r="D1" s="61"/>
      <c r="E1" s="61"/>
      <c r="F1" s="62" t="s">
        <v>7</v>
      </c>
      <c r="G1" s="52" t="s">
        <v>8</v>
      </c>
    </row>
    <row r="2" spans="1:7" ht="15" customHeight="1" x14ac:dyDescent="0.2">
      <c r="A2" s="57"/>
      <c r="B2" s="59"/>
      <c r="C2" s="15" t="s">
        <v>2</v>
      </c>
      <c r="D2" s="6" t="s">
        <v>3</v>
      </c>
      <c r="E2" s="35" t="s">
        <v>5</v>
      </c>
      <c r="F2" s="63"/>
      <c r="G2" s="53"/>
    </row>
    <row r="3" spans="1:7" ht="15" customHeight="1" x14ac:dyDescent="0.2">
      <c r="A3" s="1" t="str">
        <f>TEXT(B3,"TTTT")</f>
        <v>Mittwoch</v>
      </c>
      <c r="B3" s="12">
        <v>45931</v>
      </c>
      <c r="C3" s="16"/>
      <c r="D3" s="8"/>
      <c r="E3" s="36"/>
      <c r="F3" s="17">
        <f>((D3-C3)*24)-E3</f>
        <v>0</v>
      </c>
      <c r="G3" s="4"/>
    </row>
    <row r="4" spans="1:7" ht="15" customHeight="1" x14ac:dyDescent="0.2">
      <c r="A4" s="7" t="str">
        <f t="shared" ref="A4:A33" si="0">TEXT(B4,"TTTT")</f>
        <v>Donnerstag</v>
      </c>
      <c r="B4" s="13">
        <f>B3+1</f>
        <v>45932</v>
      </c>
      <c r="C4" s="18"/>
      <c r="D4" s="9"/>
      <c r="E4" s="37"/>
      <c r="F4" s="19">
        <f t="shared" ref="F4:F33" si="1">((D4-C4)*24)-E4</f>
        <v>0</v>
      </c>
      <c r="G4" s="10"/>
    </row>
    <row r="5" spans="1:7" ht="15" customHeight="1" x14ac:dyDescent="0.2">
      <c r="A5" s="2" t="str">
        <f t="shared" si="0"/>
        <v>Freitag</v>
      </c>
      <c r="B5" s="14">
        <f t="shared" ref="B5:B33" si="2">B4+1</f>
        <v>45933</v>
      </c>
      <c r="C5" s="20"/>
      <c r="D5" s="11"/>
      <c r="E5" s="38"/>
      <c r="F5" s="21">
        <f t="shared" si="1"/>
        <v>0</v>
      </c>
      <c r="G5" s="5"/>
    </row>
    <row r="6" spans="1:7" ht="15" customHeight="1" x14ac:dyDescent="0.2">
      <c r="A6" s="7" t="str">
        <f t="shared" si="0"/>
        <v>Samstag</v>
      </c>
      <c r="B6" s="13">
        <f t="shared" si="2"/>
        <v>45934</v>
      </c>
      <c r="C6" s="18"/>
      <c r="D6" s="9"/>
      <c r="E6" s="37"/>
      <c r="F6" s="19">
        <f t="shared" si="1"/>
        <v>0</v>
      </c>
      <c r="G6" s="10"/>
    </row>
    <row r="7" spans="1:7" ht="15" customHeight="1" x14ac:dyDescent="0.2">
      <c r="A7" s="2" t="str">
        <f t="shared" si="0"/>
        <v>Sonntag</v>
      </c>
      <c r="B7" s="14">
        <f t="shared" si="2"/>
        <v>45935</v>
      </c>
      <c r="C7" s="20"/>
      <c r="D7" s="11"/>
      <c r="E7" s="38"/>
      <c r="F7" s="21">
        <f t="shared" si="1"/>
        <v>0</v>
      </c>
      <c r="G7" s="5"/>
    </row>
    <row r="8" spans="1:7" ht="15" customHeight="1" x14ac:dyDescent="0.2">
      <c r="A8" s="7" t="str">
        <f t="shared" si="0"/>
        <v>Montag</v>
      </c>
      <c r="B8" s="13">
        <f t="shared" si="2"/>
        <v>45936</v>
      </c>
      <c r="C8" s="18"/>
      <c r="D8" s="9"/>
      <c r="E8" s="37"/>
      <c r="F8" s="19">
        <f t="shared" si="1"/>
        <v>0</v>
      </c>
      <c r="G8" s="10"/>
    </row>
    <row r="9" spans="1:7" ht="15" customHeight="1" x14ac:dyDescent="0.2">
      <c r="A9" s="2" t="str">
        <f t="shared" si="0"/>
        <v>Dienstag</v>
      </c>
      <c r="B9" s="14">
        <f t="shared" si="2"/>
        <v>45937</v>
      </c>
      <c r="C9" s="20"/>
      <c r="D9" s="11"/>
      <c r="E9" s="38"/>
      <c r="F9" s="21">
        <f t="shared" si="1"/>
        <v>0</v>
      </c>
      <c r="G9" s="5"/>
    </row>
    <row r="10" spans="1:7" ht="15" customHeight="1" x14ac:dyDescent="0.2">
      <c r="A10" s="7" t="str">
        <f t="shared" si="0"/>
        <v>Mittwoch</v>
      </c>
      <c r="B10" s="13">
        <f t="shared" si="2"/>
        <v>45938</v>
      </c>
      <c r="C10" s="18"/>
      <c r="D10" s="9"/>
      <c r="E10" s="37"/>
      <c r="F10" s="19">
        <f t="shared" si="1"/>
        <v>0</v>
      </c>
      <c r="G10" s="10"/>
    </row>
    <row r="11" spans="1:7" ht="15" customHeight="1" x14ac:dyDescent="0.2">
      <c r="A11" s="2" t="str">
        <f t="shared" si="0"/>
        <v>Donnerstag</v>
      </c>
      <c r="B11" s="14">
        <f t="shared" si="2"/>
        <v>45939</v>
      </c>
      <c r="C11" s="20"/>
      <c r="D11" s="11"/>
      <c r="E11" s="38"/>
      <c r="F11" s="21">
        <f t="shared" si="1"/>
        <v>0</v>
      </c>
      <c r="G11" s="5"/>
    </row>
    <row r="12" spans="1:7" ht="15" customHeight="1" x14ac:dyDescent="0.2">
      <c r="A12" s="7" t="str">
        <f t="shared" si="0"/>
        <v>Freitag</v>
      </c>
      <c r="B12" s="13">
        <f t="shared" si="2"/>
        <v>45940</v>
      </c>
      <c r="C12" s="18"/>
      <c r="D12" s="9"/>
      <c r="E12" s="37"/>
      <c r="F12" s="19">
        <f t="shared" si="1"/>
        <v>0</v>
      </c>
      <c r="G12" s="10"/>
    </row>
    <row r="13" spans="1:7" ht="15" customHeight="1" x14ac:dyDescent="0.2">
      <c r="A13" s="2" t="str">
        <f t="shared" si="0"/>
        <v>Samstag</v>
      </c>
      <c r="B13" s="14">
        <f t="shared" si="2"/>
        <v>45941</v>
      </c>
      <c r="C13" s="20"/>
      <c r="D13" s="11"/>
      <c r="E13" s="38"/>
      <c r="F13" s="21">
        <f t="shared" si="1"/>
        <v>0</v>
      </c>
      <c r="G13" s="5"/>
    </row>
    <row r="14" spans="1:7" ht="15" customHeight="1" x14ac:dyDescent="0.2">
      <c r="A14" s="7" t="str">
        <f t="shared" si="0"/>
        <v>Sonntag</v>
      </c>
      <c r="B14" s="13">
        <f t="shared" si="2"/>
        <v>45942</v>
      </c>
      <c r="C14" s="18"/>
      <c r="D14" s="9"/>
      <c r="E14" s="37"/>
      <c r="F14" s="19">
        <f t="shared" si="1"/>
        <v>0</v>
      </c>
      <c r="G14" s="10"/>
    </row>
    <row r="15" spans="1:7" ht="15" customHeight="1" x14ac:dyDescent="0.2">
      <c r="A15" s="2" t="str">
        <f t="shared" si="0"/>
        <v>Montag</v>
      </c>
      <c r="B15" s="14">
        <f t="shared" si="2"/>
        <v>45943</v>
      </c>
      <c r="C15" s="20"/>
      <c r="D15" s="11"/>
      <c r="E15" s="38"/>
      <c r="F15" s="21">
        <f t="shared" si="1"/>
        <v>0</v>
      </c>
      <c r="G15" s="5"/>
    </row>
    <row r="16" spans="1:7" ht="15" customHeight="1" x14ac:dyDescent="0.2">
      <c r="A16" s="7" t="str">
        <f t="shared" si="0"/>
        <v>Dienstag</v>
      </c>
      <c r="B16" s="13">
        <f t="shared" si="2"/>
        <v>45944</v>
      </c>
      <c r="C16" s="18"/>
      <c r="D16" s="9"/>
      <c r="E16" s="37"/>
      <c r="F16" s="19">
        <f t="shared" si="1"/>
        <v>0</v>
      </c>
      <c r="G16" s="10"/>
    </row>
    <row r="17" spans="1:7" ht="15" customHeight="1" x14ac:dyDescent="0.2">
      <c r="A17" s="2" t="str">
        <f t="shared" si="0"/>
        <v>Mittwoch</v>
      </c>
      <c r="B17" s="14">
        <f t="shared" si="2"/>
        <v>45945</v>
      </c>
      <c r="C17" s="20"/>
      <c r="D17" s="11"/>
      <c r="E17" s="38"/>
      <c r="F17" s="21">
        <f t="shared" si="1"/>
        <v>0</v>
      </c>
      <c r="G17" s="5"/>
    </row>
    <row r="18" spans="1:7" ht="15" customHeight="1" x14ac:dyDescent="0.2">
      <c r="A18" s="7" t="str">
        <f t="shared" si="0"/>
        <v>Donnerstag</v>
      </c>
      <c r="B18" s="13">
        <f t="shared" si="2"/>
        <v>45946</v>
      </c>
      <c r="C18" s="18"/>
      <c r="D18" s="9"/>
      <c r="E18" s="37"/>
      <c r="F18" s="19">
        <f t="shared" si="1"/>
        <v>0</v>
      </c>
      <c r="G18" s="10"/>
    </row>
    <row r="19" spans="1:7" ht="15" customHeight="1" x14ac:dyDescent="0.2">
      <c r="A19" s="2" t="str">
        <f t="shared" si="0"/>
        <v>Freitag</v>
      </c>
      <c r="B19" s="14">
        <f t="shared" si="2"/>
        <v>45947</v>
      </c>
      <c r="C19" s="20"/>
      <c r="D19" s="11"/>
      <c r="E19" s="38"/>
      <c r="F19" s="21">
        <f t="shared" si="1"/>
        <v>0</v>
      </c>
      <c r="G19" s="5"/>
    </row>
    <row r="20" spans="1:7" ht="15" customHeight="1" x14ac:dyDescent="0.2">
      <c r="A20" s="7" t="str">
        <f t="shared" si="0"/>
        <v>Samstag</v>
      </c>
      <c r="B20" s="13">
        <f t="shared" si="2"/>
        <v>45948</v>
      </c>
      <c r="C20" s="18"/>
      <c r="D20" s="9"/>
      <c r="E20" s="37"/>
      <c r="F20" s="19">
        <f t="shared" si="1"/>
        <v>0</v>
      </c>
      <c r="G20" s="10"/>
    </row>
    <row r="21" spans="1:7" ht="15" customHeight="1" x14ac:dyDescent="0.2">
      <c r="A21" s="2" t="str">
        <f t="shared" si="0"/>
        <v>Sonntag</v>
      </c>
      <c r="B21" s="14">
        <f t="shared" si="2"/>
        <v>45949</v>
      </c>
      <c r="C21" s="20"/>
      <c r="D21" s="11"/>
      <c r="E21" s="38"/>
      <c r="F21" s="21">
        <f t="shared" si="1"/>
        <v>0</v>
      </c>
      <c r="G21" s="5"/>
    </row>
    <row r="22" spans="1:7" ht="15" customHeight="1" x14ac:dyDescent="0.2">
      <c r="A22" s="7" t="str">
        <f t="shared" si="0"/>
        <v>Montag</v>
      </c>
      <c r="B22" s="13">
        <f t="shared" si="2"/>
        <v>45950</v>
      </c>
      <c r="C22" s="18"/>
      <c r="D22" s="9"/>
      <c r="E22" s="37"/>
      <c r="F22" s="19">
        <f t="shared" si="1"/>
        <v>0</v>
      </c>
      <c r="G22" s="10"/>
    </row>
    <row r="23" spans="1:7" ht="15" customHeight="1" x14ac:dyDescent="0.2">
      <c r="A23" s="2" t="str">
        <f t="shared" si="0"/>
        <v>Dienstag</v>
      </c>
      <c r="B23" s="14">
        <f t="shared" si="2"/>
        <v>45951</v>
      </c>
      <c r="C23" s="20"/>
      <c r="D23" s="11"/>
      <c r="E23" s="38"/>
      <c r="F23" s="21">
        <f t="shared" si="1"/>
        <v>0</v>
      </c>
      <c r="G23" s="5"/>
    </row>
    <row r="24" spans="1:7" ht="15" customHeight="1" x14ac:dyDescent="0.2">
      <c r="A24" s="7" t="str">
        <f t="shared" si="0"/>
        <v>Mittwoch</v>
      </c>
      <c r="B24" s="13">
        <f t="shared" si="2"/>
        <v>45952</v>
      </c>
      <c r="C24" s="18"/>
      <c r="D24" s="9"/>
      <c r="E24" s="37"/>
      <c r="F24" s="19">
        <f t="shared" si="1"/>
        <v>0</v>
      </c>
      <c r="G24" s="10"/>
    </row>
    <row r="25" spans="1:7" ht="15" customHeight="1" x14ac:dyDescent="0.2">
      <c r="A25" s="2" t="str">
        <f t="shared" si="0"/>
        <v>Donnerstag</v>
      </c>
      <c r="B25" s="14">
        <f t="shared" si="2"/>
        <v>45953</v>
      </c>
      <c r="C25" s="20"/>
      <c r="D25" s="11"/>
      <c r="E25" s="38"/>
      <c r="F25" s="21">
        <f t="shared" si="1"/>
        <v>0</v>
      </c>
      <c r="G25" s="5"/>
    </row>
    <row r="26" spans="1:7" ht="15" customHeight="1" x14ac:dyDescent="0.2">
      <c r="A26" s="7" t="str">
        <f t="shared" si="0"/>
        <v>Freitag</v>
      </c>
      <c r="B26" s="13">
        <f t="shared" si="2"/>
        <v>45954</v>
      </c>
      <c r="C26" s="18"/>
      <c r="D26" s="9"/>
      <c r="E26" s="37"/>
      <c r="F26" s="19">
        <f t="shared" si="1"/>
        <v>0</v>
      </c>
      <c r="G26" s="10"/>
    </row>
    <row r="27" spans="1:7" ht="15" customHeight="1" x14ac:dyDescent="0.2">
      <c r="A27" s="2" t="str">
        <f t="shared" si="0"/>
        <v>Samstag</v>
      </c>
      <c r="B27" s="14">
        <f t="shared" si="2"/>
        <v>45955</v>
      </c>
      <c r="C27" s="20"/>
      <c r="D27" s="11"/>
      <c r="E27" s="38"/>
      <c r="F27" s="21">
        <f t="shared" si="1"/>
        <v>0</v>
      </c>
      <c r="G27" s="5"/>
    </row>
    <row r="28" spans="1:7" ht="15" customHeight="1" x14ac:dyDescent="0.2">
      <c r="A28" s="7" t="str">
        <f t="shared" si="0"/>
        <v>Sonntag</v>
      </c>
      <c r="B28" s="13">
        <f t="shared" si="2"/>
        <v>45956</v>
      </c>
      <c r="C28" s="18"/>
      <c r="D28" s="9"/>
      <c r="E28" s="37"/>
      <c r="F28" s="19">
        <f t="shared" si="1"/>
        <v>0</v>
      </c>
      <c r="G28" s="10"/>
    </row>
    <row r="29" spans="1:7" ht="15" customHeight="1" x14ac:dyDescent="0.2">
      <c r="A29" s="2" t="str">
        <f t="shared" si="0"/>
        <v>Montag</v>
      </c>
      <c r="B29" s="14">
        <f t="shared" si="2"/>
        <v>45957</v>
      </c>
      <c r="C29" s="20"/>
      <c r="D29" s="11"/>
      <c r="E29" s="38"/>
      <c r="F29" s="21">
        <f t="shared" si="1"/>
        <v>0</v>
      </c>
      <c r="G29" s="5"/>
    </row>
    <row r="30" spans="1:7" ht="15" customHeight="1" x14ac:dyDescent="0.2">
      <c r="A30" s="7" t="str">
        <f t="shared" si="0"/>
        <v>Dienstag</v>
      </c>
      <c r="B30" s="13">
        <f t="shared" si="2"/>
        <v>45958</v>
      </c>
      <c r="C30" s="18"/>
      <c r="D30" s="9"/>
      <c r="E30" s="37"/>
      <c r="F30" s="19">
        <f t="shared" si="1"/>
        <v>0</v>
      </c>
      <c r="G30" s="10"/>
    </row>
    <row r="31" spans="1:7" ht="15" customHeight="1" x14ac:dyDescent="0.2">
      <c r="A31" s="2" t="str">
        <f t="shared" si="0"/>
        <v>Mittwoch</v>
      </c>
      <c r="B31" s="14">
        <f t="shared" si="2"/>
        <v>45959</v>
      </c>
      <c r="C31" s="20"/>
      <c r="D31" s="11"/>
      <c r="E31" s="38"/>
      <c r="F31" s="21">
        <f t="shared" si="1"/>
        <v>0</v>
      </c>
      <c r="G31" s="5"/>
    </row>
    <row r="32" spans="1:7" ht="15" customHeight="1" x14ac:dyDescent="0.2">
      <c r="A32" s="7" t="str">
        <f t="shared" si="0"/>
        <v>Donnerstag</v>
      </c>
      <c r="B32" s="13">
        <f t="shared" si="2"/>
        <v>45960</v>
      </c>
      <c r="C32" s="18"/>
      <c r="D32" s="9"/>
      <c r="E32" s="37"/>
      <c r="F32" s="19">
        <f t="shared" si="1"/>
        <v>0</v>
      </c>
      <c r="G32" s="10"/>
    </row>
    <row r="33" spans="1:7" ht="15" customHeight="1" x14ac:dyDescent="0.2">
      <c r="A33" s="22" t="str">
        <f t="shared" si="0"/>
        <v>Freitag</v>
      </c>
      <c r="B33" s="23">
        <f t="shared" si="2"/>
        <v>45961</v>
      </c>
      <c r="C33" s="24"/>
      <c r="D33" s="25"/>
      <c r="E33" s="39"/>
      <c r="F33" s="26">
        <f t="shared" si="1"/>
        <v>0</v>
      </c>
      <c r="G33" s="3"/>
    </row>
    <row r="34" spans="1:7" ht="15" x14ac:dyDescent="0.2">
      <c r="D34" s="54" t="s">
        <v>14</v>
      </c>
      <c r="E34" s="55"/>
      <c r="F34" s="34">
        <f>SUMIF(G3:G33,"X",F3:F33)</f>
        <v>0</v>
      </c>
    </row>
    <row r="35" spans="1:7" ht="15" x14ac:dyDescent="0.2">
      <c r="D35" s="54" t="s">
        <v>15</v>
      </c>
      <c r="E35" s="55"/>
      <c r="F35" s="34">
        <f>SUMIF(G3:G33,"",F3:F33)</f>
        <v>0</v>
      </c>
    </row>
  </sheetData>
  <mergeCells count="7">
    <mergeCell ref="G1:G2"/>
    <mergeCell ref="D34:E34"/>
    <mergeCell ref="D35:E35"/>
    <mergeCell ref="A1:A2"/>
    <mergeCell ref="B1:B2"/>
    <mergeCell ref="C1:E1"/>
    <mergeCell ref="F1:F2"/>
  </mergeCells>
  <conditionalFormatting sqref="A3:A33">
    <cfRule type="containsText" dxfId="5" priority="1" operator="containsText" text="Sonntag">
      <formula>NOT(ISERROR(SEARCH("Sonntag",A3)))</formula>
    </cfRule>
    <cfRule type="containsText" dxfId="4" priority="2" operator="containsText" text="Samstag">
      <formula>NOT(ISERROR(SEARCH("Samstag",A3)))</formula>
    </cfRule>
  </conditionalFormatting>
  <pageMargins left="0.7" right="0.7" top="0.78740157499999996" bottom="0.78740157499999996" header="0.3" footer="0.3"/>
  <pageSetup paperSize="9" scale="99" orientation="portrait" r:id="rId1"/>
  <headerFooter>
    <oddHeader>&amp;COktober 2025</oddHeader>
    <oddFooter>&amp;R&amp;8Andreas Fischer | Wehleweg 4/ Top 43| 1030 Wien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827C1-633B-4AA0-9345-CF0037BBF751}">
  <sheetPr codeName="Tabelle12">
    <pageSetUpPr fitToPage="1"/>
  </sheetPr>
  <dimension ref="A1:G35"/>
  <sheetViews>
    <sheetView view="pageLayout" zoomScaleNormal="100" workbookViewId="0">
      <selection activeCell="C3" sqref="C3"/>
    </sheetView>
  </sheetViews>
  <sheetFormatPr baseColWidth="10" defaultRowHeight="14.25" x14ac:dyDescent="0.2"/>
  <cols>
    <col min="1" max="1" width="15.375" bestFit="1" customWidth="1"/>
    <col min="8" max="8" width="12.625" customWidth="1"/>
  </cols>
  <sheetData>
    <row r="1" spans="1:7" ht="15" customHeight="1" x14ac:dyDescent="0.2">
      <c r="A1" s="56" t="s">
        <v>0</v>
      </c>
      <c r="B1" s="58" t="s">
        <v>1</v>
      </c>
      <c r="C1" s="60" t="s">
        <v>4</v>
      </c>
      <c r="D1" s="61"/>
      <c r="E1" s="61"/>
      <c r="F1" s="62" t="s">
        <v>7</v>
      </c>
      <c r="G1" s="52" t="s">
        <v>8</v>
      </c>
    </row>
    <row r="2" spans="1:7" ht="15" customHeight="1" x14ac:dyDescent="0.2">
      <c r="A2" s="57"/>
      <c r="B2" s="59"/>
      <c r="C2" s="15" t="s">
        <v>2</v>
      </c>
      <c r="D2" s="6" t="s">
        <v>3</v>
      </c>
      <c r="E2" s="35" t="s">
        <v>5</v>
      </c>
      <c r="F2" s="63"/>
      <c r="G2" s="53"/>
    </row>
    <row r="3" spans="1:7" ht="15" customHeight="1" x14ac:dyDescent="0.2">
      <c r="A3" s="1" t="str">
        <f>TEXT(B3,"TTTT")</f>
        <v>Samstag</v>
      </c>
      <c r="B3" s="12">
        <v>45962</v>
      </c>
      <c r="C3" s="16"/>
      <c r="D3" s="8"/>
      <c r="E3" s="36"/>
      <c r="F3" s="17">
        <f>((D3-C3)*24)-E3</f>
        <v>0</v>
      </c>
      <c r="G3" s="4"/>
    </row>
    <row r="4" spans="1:7" ht="15" customHeight="1" x14ac:dyDescent="0.2">
      <c r="A4" s="7" t="str">
        <f t="shared" ref="A4:A32" si="0">TEXT(B4,"TTTT")</f>
        <v>Sonntag</v>
      </c>
      <c r="B4" s="13">
        <f>B3+1</f>
        <v>45963</v>
      </c>
      <c r="C4" s="18"/>
      <c r="D4" s="9"/>
      <c r="E4" s="37"/>
      <c r="F4" s="19">
        <f t="shared" ref="F4:F32" si="1">((D4-C4)*24)-E4</f>
        <v>0</v>
      </c>
      <c r="G4" s="10"/>
    </row>
    <row r="5" spans="1:7" ht="15" customHeight="1" x14ac:dyDescent="0.2">
      <c r="A5" s="2" t="str">
        <f t="shared" si="0"/>
        <v>Montag</v>
      </c>
      <c r="B5" s="14">
        <f t="shared" ref="B5:B32" si="2">B4+1</f>
        <v>45964</v>
      </c>
      <c r="C5" s="20"/>
      <c r="D5" s="11"/>
      <c r="E5" s="38"/>
      <c r="F5" s="21">
        <f t="shared" si="1"/>
        <v>0</v>
      </c>
      <c r="G5" s="5"/>
    </row>
    <row r="6" spans="1:7" ht="15" customHeight="1" x14ac:dyDescent="0.2">
      <c r="A6" s="7" t="str">
        <f t="shared" si="0"/>
        <v>Dienstag</v>
      </c>
      <c r="B6" s="13">
        <f t="shared" si="2"/>
        <v>45965</v>
      </c>
      <c r="C6" s="18"/>
      <c r="D6" s="9"/>
      <c r="E6" s="37"/>
      <c r="F6" s="19">
        <f t="shared" si="1"/>
        <v>0</v>
      </c>
      <c r="G6" s="10"/>
    </row>
    <row r="7" spans="1:7" ht="15" customHeight="1" x14ac:dyDescent="0.2">
      <c r="A7" s="2" t="str">
        <f t="shared" si="0"/>
        <v>Mittwoch</v>
      </c>
      <c r="B7" s="14">
        <f t="shared" si="2"/>
        <v>45966</v>
      </c>
      <c r="C7" s="20"/>
      <c r="D7" s="11"/>
      <c r="E7" s="38"/>
      <c r="F7" s="21">
        <f t="shared" si="1"/>
        <v>0</v>
      </c>
      <c r="G7" s="5"/>
    </row>
    <row r="8" spans="1:7" ht="15" customHeight="1" x14ac:dyDescent="0.2">
      <c r="A8" s="7" t="str">
        <f t="shared" si="0"/>
        <v>Donnerstag</v>
      </c>
      <c r="B8" s="13">
        <f t="shared" si="2"/>
        <v>45967</v>
      </c>
      <c r="C8" s="18"/>
      <c r="D8" s="9"/>
      <c r="E8" s="37"/>
      <c r="F8" s="19">
        <f t="shared" si="1"/>
        <v>0</v>
      </c>
      <c r="G8" s="10"/>
    </row>
    <row r="9" spans="1:7" ht="15" customHeight="1" x14ac:dyDescent="0.2">
      <c r="A9" s="2" t="str">
        <f t="shared" si="0"/>
        <v>Freitag</v>
      </c>
      <c r="B9" s="14">
        <f t="shared" si="2"/>
        <v>45968</v>
      </c>
      <c r="C9" s="20"/>
      <c r="D9" s="11"/>
      <c r="E9" s="38"/>
      <c r="F9" s="21">
        <f t="shared" si="1"/>
        <v>0</v>
      </c>
      <c r="G9" s="5"/>
    </row>
    <row r="10" spans="1:7" ht="15" customHeight="1" x14ac:dyDescent="0.2">
      <c r="A10" s="7" t="str">
        <f t="shared" si="0"/>
        <v>Samstag</v>
      </c>
      <c r="B10" s="13">
        <f t="shared" si="2"/>
        <v>45969</v>
      </c>
      <c r="C10" s="18"/>
      <c r="D10" s="9"/>
      <c r="E10" s="37"/>
      <c r="F10" s="19">
        <f t="shared" si="1"/>
        <v>0</v>
      </c>
      <c r="G10" s="10"/>
    </row>
    <row r="11" spans="1:7" ht="15" customHeight="1" x14ac:dyDescent="0.2">
      <c r="A11" s="2" t="str">
        <f t="shared" si="0"/>
        <v>Sonntag</v>
      </c>
      <c r="B11" s="14">
        <f t="shared" si="2"/>
        <v>45970</v>
      </c>
      <c r="C11" s="20"/>
      <c r="D11" s="11"/>
      <c r="E11" s="38"/>
      <c r="F11" s="21">
        <f t="shared" si="1"/>
        <v>0</v>
      </c>
      <c r="G11" s="5"/>
    </row>
    <row r="12" spans="1:7" ht="15" customHeight="1" x14ac:dyDescent="0.2">
      <c r="A12" s="7" t="str">
        <f t="shared" si="0"/>
        <v>Montag</v>
      </c>
      <c r="B12" s="13">
        <f t="shared" si="2"/>
        <v>45971</v>
      </c>
      <c r="C12" s="18"/>
      <c r="D12" s="9"/>
      <c r="E12" s="37"/>
      <c r="F12" s="19">
        <f t="shared" si="1"/>
        <v>0</v>
      </c>
      <c r="G12" s="10"/>
    </row>
    <row r="13" spans="1:7" ht="15" customHeight="1" x14ac:dyDescent="0.2">
      <c r="A13" s="2" t="str">
        <f t="shared" si="0"/>
        <v>Dienstag</v>
      </c>
      <c r="B13" s="14">
        <f t="shared" si="2"/>
        <v>45972</v>
      </c>
      <c r="C13" s="20"/>
      <c r="D13" s="11"/>
      <c r="E13" s="38"/>
      <c r="F13" s="21">
        <f t="shared" si="1"/>
        <v>0</v>
      </c>
      <c r="G13" s="5"/>
    </row>
    <row r="14" spans="1:7" ht="15" customHeight="1" x14ac:dyDescent="0.2">
      <c r="A14" s="7" t="str">
        <f t="shared" si="0"/>
        <v>Mittwoch</v>
      </c>
      <c r="B14" s="13">
        <f t="shared" si="2"/>
        <v>45973</v>
      </c>
      <c r="C14" s="18"/>
      <c r="D14" s="9"/>
      <c r="E14" s="37"/>
      <c r="F14" s="19">
        <f t="shared" si="1"/>
        <v>0</v>
      </c>
      <c r="G14" s="10"/>
    </row>
    <row r="15" spans="1:7" ht="15" customHeight="1" x14ac:dyDescent="0.2">
      <c r="A15" s="2" t="str">
        <f t="shared" si="0"/>
        <v>Donnerstag</v>
      </c>
      <c r="B15" s="14">
        <f t="shared" si="2"/>
        <v>45974</v>
      </c>
      <c r="C15" s="20"/>
      <c r="D15" s="11"/>
      <c r="E15" s="38"/>
      <c r="F15" s="21">
        <f t="shared" si="1"/>
        <v>0</v>
      </c>
      <c r="G15" s="5"/>
    </row>
    <row r="16" spans="1:7" ht="15" customHeight="1" x14ac:dyDescent="0.2">
      <c r="A16" s="7" t="str">
        <f t="shared" si="0"/>
        <v>Freitag</v>
      </c>
      <c r="B16" s="13">
        <f t="shared" si="2"/>
        <v>45975</v>
      </c>
      <c r="C16" s="18"/>
      <c r="D16" s="9"/>
      <c r="E16" s="37"/>
      <c r="F16" s="19">
        <f t="shared" si="1"/>
        <v>0</v>
      </c>
      <c r="G16" s="10"/>
    </row>
    <row r="17" spans="1:7" ht="15" customHeight="1" x14ac:dyDescent="0.2">
      <c r="A17" s="2" t="str">
        <f t="shared" si="0"/>
        <v>Samstag</v>
      </c>
      <c r="B17" s="14">
        <f t="shared" si="2"/>
        <v>45976</v>
      </c>
      <c r="C17" s="20"/>
      <c r="D17" s="11"/>
      <c r="E17" s="38"/>
      <c r="F17" s="21">
        <f t="shared" si="1"/>
        <v>0</v>
      </c>
      <c r="G17" s="5"/>
    </row>
    <row r="18" spans="1:7" ht="15" customHeight="1" x14ac:dyDescent="0.2">
      <c r="A18" s="7" t="str">
        <f t="shared" si="0"/>
        <v>Sonntag</v>
      </c>
      <c r="B18" s="13">
        <f t="shared" si="2"/>
        <v>45977</v>
      </c>
      <c r="C18" s="18"/>
      <c r="D18" s="9"/>
      <c r="E18" s="37"/>
      <c r="F18" s="19">
        <f t="shared" si="1"/>
        <v>0</v>
      </c>
      <c r="G18" s="10"/>
    </row>
    <row r="19" spans="1:7" ht="15" customHeight="1" x14ac:dyDescent="0.2">
      <c r="A19" s="2" t="str">
        <f t="shared" si="0"/>
        <v>Montag</v>
      </c>
      <c r="B19" s="14">
        <f t="shared" si="2"/>
        <v>45978</v>
      </c>
      <c r="C19" s="20"/>
      <c r="D19" s="11"/>
      <c r="E19" s="38"/>
      <c r="F19" s="21">
        <f t="shared" si="1"/>
        <v>0</v>
      </c>
      <c r="G19" s="5"/>
    </row>
    <row r="20" spans="1:7" ht="15" customHeight="1" x14ac:dyDescent="0.2">
      <c r="A20" s="7" t="str">
        <f t="shared" si="0"/>
        <v>Dienstag</v>
      </c>
      <c r="B20" s="13">
        <f t="shared" si="2"/>
        <v>45979</v>
      </c>
      <c r="C20" s="18"/>
      <c r="D20" s="9"/>
      <c r="E20" s="37"/>
      <c r="F20" s="19">
        <f t="shared" si="1"/>
        <v>0</v>
      </c>
      <c r="G20" s="10"/>
    </row>
    <row r="21" spans="1:7" ht="15" customHeight="1" x14ac:dyDescent="0.2">
      <c r="A21" s="2" t="str">
        <f t="shared" si="0"/>
        <v>Mittwoch</v>
      </c>
      <c r="B21" s="14">
        <f t="shared" si="2"/>
        <v>45980</v>
      </c>
      <c r="C21" s="20"/>
      <c r="D21" s="11"/>
      <c r="E21" s="38"/>
      <c r="F21" s="21">
        <f t="shared" si="1"/>
        <v>0</v>
      </c>
      <c r="G21" s="5"/>
    </row>
    <row r="22" spans="1:7" ht="15" customHeight="1" x14ac:dyDescent="0.2">
      <c r="A22" s="7" t="str">
        <f t="shared" si="0"/>
        <v>Donnerstag</v>
      </c>
      <c r="B22" s="13">
        <f t="shared" si="2"/>
        <v>45981</v>
      </c>
      <c r="C22" s="18"/>
      <c r="D22" s="9"/>
      <c r="E22" s="37"/>
      <c r="F22" s="19">
        <f t="shared" si="1"/>
        <v>0</v>
      </c>
      <c r="G22" s="10"/>
    </row>
    <row r="23" spans="1:7" ht="15" customHeight="1" x14ac:dyDescent="0.2">
      <c r="A23" s="2" t="str">
        <f t="shared" si="0"/>
        <v>Freitag</v>
      </c>
      <c r="B23" s="14">
        <f t="shared" si="2"/>
        <v>45982</v>
      </c>
      <c r="C23" s="20"/>
      <c r="D23" s="11"/>
      <c r="E23" s="38"/>
      <c r="F23" s="21">
        <f t="shared" si="1"/>
        <v>0</v>
      </c>
      <c r="G23" s="5"/>
    </row>
    <row r="24" spans="1:7" ht="15" customHeight="1" x14ac:dyDescent="0.2">
      <c r="A24" s="7" t="str">
        <f t="shared" si="0"/>
        <v>Samstag</v>
      </c>
      <c r="B24" s="13">
        <f t="shared" si="2"/>
        <v>45983</v>
      </c>
      <c r="C24" s="18"/>
      <c r="D24" s="9"/>
      <c r="E24" s="37"/>
      <c r="F24" s="19">
        <f t="shared" si="1"/>
        <v>0</v>
      </c>
      <c r="G24" s="10"/>
    </row>
    <row r="25" spans="1:7" ht="15" customHeight="1" x14ac:dyDescent="0.2">
      <c r="A25" s="2" t="str">
        <f t="shared" si="0"/>
        <v>Sonntag</v>
      </c>
      <c r="B25" s="14">
        <f t="shared" si="2"/>
        <v>45984</v>
      </c>
      <c r="C25" s="20"/>
      <c r="D25" s="11"/>
      <c r="E25" s="38"/>
      <c r="F25" s="21">
        <f t="shared" si="1"/>
        <v>0</v>
      </c>
      <c r="G25" s="5"/>
    </row>
    <row r="26" spans="1:7" ht="15" customHeight="1" x14ac:dyDescent="0.2">
      <c r="A26" s="7" t="str">
        <f t="shared" si="0"/>
        <v>Montag</v>
      </c>
      <c r="B26" s="13">
        <f t="shared" si="2"/>
        <v>45985</v>
      </c>
      <c r="C26" s="18"/>
      <c r="D26" s="9"/>
      <c r="E26" s="37"/>
      <c r="F26" s="19">
        <f t="shared" si="1"/>
        <v>0</v>
      </c>
      <c r="G26" s="10"/>
    </row>
    <row r="27" spans="1:7" ht="15" customHeight="1" x14ac:dyDescent="0.2">
      <c r="A27" s="2" t="str">
        <f t="shared" si="0"/>
        <v>Dienstag</v>
      </c>
      <c r="B27" s="14">
        <f t="shared" si="2"/>
        <v>45986</v>
      </c>
      <c r="C27" s="20"/>
      <c r="D27" s="11"/>
      <c r="E27" s="38"/>
      <c r="F27" s="21">
        <f t="shared" si="1"/>
        <v>0</v>
      </c>
      <c r="G27" s="5"/>
    </row>
    <row r="28" spans="1:7" ht="15" customHeight="1" x14ac:dyDescent="0.2">
      <c r="A28" s="7" t="str">
        <f t="shared" si="0"/>
        <v>Mittwoch</v>
      </c>
      <c r="B28" s="13">
        <f t="shared" si="2"/>
        <v>45987</v>
      </c>
      <c r="C28" s="18"/>
      <c r="D28" s="9"/>
      <c r="E28" s="37"/>
      <c r="F28" s="19">
        <f t="shared" si="1"/>
        <v>0</v>
      </c>
      <c r="G28" s="10"/>
    </row>
    <row r="29" spans="1:7" ht="15" customHeight="1" x14ac:dyDescent="0.2">
      <c r="A29" s="2" t="str">
        <f t="shared" si="0"/>
        <v>Donnerstag</v>
      </c>
      <c r="B29" s="14">
        <f t="shared" si="2"/>
        <v>45988</v>
      </c>
      <c r="C29" s="20"/>
      <c r="D29" s="11"/>
      <c r="E29" s="38"/>
      <c r="F29" s="21">
        <f t="shared" si="1"/>
        <v>0</v>
      </c>
      <c r="G29" s="5"/>
    </row>
    <row r="30" spans="1:7" ht="15" customHeight="1" x14ac:dyDescent="0.2">
      <c r="A30" s="7" t="str">
        <f t="shared" si="0"/>
        <v>Freitag</v>
      </c>
      <c r="B30" s="13">
        <f t="shared" si="2"/>
        <v>45989</v>
      </c>
      <c r="C30" s="18"/>
      <c r="D30" s="9"/>
      <c r="E30" s="37"/>
      <c r="F30" s="19">
        <f t="shared" si="1"/>
        <v>0</v>
      </c>
      <c r="G30" s="10"/>
    </row>
    <row r="31" spans="1:7" ht="15" customHeight="1" x14ac:dyDescent="0.2">
      <c r="A31" s="2" t="str">
        <f t="shared" si="0"/>
        <v>Samstag</v>
      </c>
      <c r="B31" s="14">
        <f t="shared" si="2"/>
        <v>45990</v>
      </c>
      <c r="C31" s="20"/>
      <c r="D31" s="11"/>
      <c r="E31" s="38"/>
      <c r="F31" s="21">
        <f t="shared" si="1"/>
        <v>0</v>
      </c>
      <c r="G31" s="5"/>
    </row>
    <row r="32" spans="1:7" ht="15" customHeight="1" x14ac:dyDescent="0.2">
      <c r="A32" s="7" t="str">
        <f t="shared" si="0"/>
        <v>Sonntag</v>
      </c>
      <c r="B32" s="13">
        <f t="shared" si="2"/>
        <v>45991</v>
      </c>
      <c r="C32" s="18"/>
      <c r="D32" s="9"/>
      <c r="E32" s="37"/>
      <c r="F32" s="19">
        <f t="shared" si="1"/>
        <v>0</v>
      </c>
      <c r="G32" s="10"/>
    </row>
    <row r="33" spans="1:7" ht="15" customHeight="1" x14ac:dyDescent="0.2">
      <c r="A33" s="22"/>
      <c r="B33" s="23"/>
      <c r="C33" s="24"/>
      <c r="D33" s="25"/>
      <c r="E33" s="39"/>
      <c r="F33" s="26"/>
      <c r="G33" s="3"/>
    </row>
    <row r="34" spans="1:7" ht="15" x14ac:dyDescent="0.2">
      <c r="D34" s="54" t="s">
        <v>14</v>
      </c>
      <c r="E34" s="55"/>
      <c r="F34" s="34">
        <f>SUMIF(G3:G33,"X",F3:F33)</f>
        <v>0</v>
      </c>
    </row>
    <row r="35" spans="1:7" ht="15" x14ac:dyDescent="0.2">
      <c r="D35" s="54" t="s">
        <v>15</v>
      </c>
      <c r="E35" s="55"/>
      <c r="F35" s="34">
        <f>SUMIF(G3:G33,"",F3:F33)</f>
        <v>0</v>
      </c>
    </row>
  </sheetData>
  <mergeCells count="7">
    <mergeCell ref="G1:G2"/>
    <mergeCell ref="D34:E34"/>
    <mergeCell ref="D35:E35"/>
    <mergeCell ref="A1:A2"/>
    <mergeCell ref="B1:B2"/>
    <mergeCell ref="C1:E1"/>
    <mergeCell ref="F1:F2"/>
  </mergeCells>
  <conditionalFormatting sqref="A3:A33">
    <cfRule type="containsText" dxfId="3" priority="1" operator="containsText" text="Sonntag">
      <formula>NOT(ISERROR(SEARCH("Sonntag",A3)))</formula>
    </cfRule>
    <cfRule type="containsText" dxfId="2" priority="2" operator="containsText" text="Samstag">
      <formula>NOT(ISERROR(SEARCH("Samstag",A3)))</formula>
    </cfRule>
  </conditionalFormatting>
  <pageMargins left="0.7" right="0.7" top="0.78740157499999996" bottom="0.78740157499999996" header="0.3" footer="0.3"/>
  <pageSetup paperSize="9" scale="99" orientation="portrait" r:id="rId1"/>
  <headerFooter>
    <oddHeader>&amp;CNovember 2025</oddHeader>
    <oddFooter>&amp;R&amp;8Andreas Fischer | Wehleweg 4/ Top 43| 1030 Wien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0A281-2C42-49CD-803B-273BD53A7D33}">
  <sheetPr codeName="Tabelle13">
    <pageSetUpPr fitToPage="1"/>
  </sheetPr>
  <dimension ref="A1:G35"/>
  <sheetViews>
    <sheetView view="pageLayout" zoomScaleNormal="100" workbookViewId="0">
      <selection activeCell="C3" sqref="C3"/>
    </sheetView>
  </sheetViews>
  <sheetFormatPr baseColWidth="10" defaultRowHeight="14.25" x14ac:dyDescent="0.2"/>
  <cols>
    <col min="1" max="1" width="15.375" bestFit="1" customWidth="1"/>
    <col min="8" max="8" width="12.625" customWidth="1"/>
  </cols>
  <sheetData>
    <row r="1" spans="1:7" ht="15" customHeight="1" x14ac:dyDescent="0.2">
      <c r="A1" s="56" t="s">
        <v>0</v>
      </c>
      <c r="B1" s="58" t="s">
        <v>1</v>
      </c>
      <c r="C1" s="60" t="s">
        <v>4</v>
      </c>
      <c r="D1" s="61"/>
      <c r="E1" s="61"/>
      <c r="F1" s="62" t="s">
        <v>7</v>
      </c>
      <c r="G1" s="52" t="s">
        <v>8</v>
      </c>
    </row>
    <row r="2" spans="1:7" ht="15" customHeight="1" x14ac:dyDescent="0.2">
      <c r="A2" s="57"/>
      <c r="B2" s="59"/>
      <c r="C2" s="15" t="s">
        <v>2</v>
      </c>
      <c r="D2" s="6" t="s">
        <v>3</v>
      </c>
      <c r="E2" s="35" t="s">
        <v>5</v>
      </c>
      <c r="F2" s="63"/>
      <c r="G2" s="53"/>
    </row>
    <row r="3" spans="1:7" ht="15" customHeight="1" x14ac:dyDescent="0.2">
      <c r="A3" s="1" t="str">
        <f>TEXT(B3,"TTTT")</f>
        <v>Montag</v>
      </c>
      <c r="B3" s="12">
        <v>45992</v>
      </c>
      <c r="C3" s="16"/>
      <c r="D3" s="8"/>
      <c r="E3" s="36"/>
      <c r="F3" s="17">
        <f>((D3-C3)*24)-E3</f>
        <v>0</v>
      </c>
      <c r="G3" s="4"/>
    </row>
    <row r="4" spans="1:7" ht="15" customHeight="1" x14ac:dyDescent="0.2">
      <c r="A4" s="7" t="str">
        <f t="shared" ref="A4:A33" si="0">TEXT(B4,"TTTT")</f>
        <v>Dienstag</v>
      </c>
      <c r="B4" s="13">
        <f>B3+1</f>
        <v>45993</v>
      </c>
      <c r="C4" s="18"/>
      <c r="D4" s="9"/>
      <c r="E4" s="37"/>
      <c r="F4" s="19">
        <f t="shared" ref="F4:F33" si="1">((D4-C4)*24)-E4</f>
        <v>0</v>
      </c>
      <c r="G4" s="10"/>
    </row>
    <row r="5" spans="1:7" ht="15" customHeight="1" x14ac:dyDescent="0.2">
      <c r="A5" s="2" t="str">
        <f t="shared" si="0"/>
        <v>Mittwoch</v>
      </c>
      <c r="B5" s="14">
        <f t="shared" ref="B5:B33" si="2">B4+1</f>
        <v>45994</v>
      </c>
      <c r="C5" s="20"/>
      <c r="D5" s="11"/>
      <c r="E5" s="38"/>
      <c r="F5" s="21">
        <f t="shared" si="1"/>
        <v>0</v>
      </c>
      <c r="G5" s="5"/>
    </row>
    <row r="6" spans="1:7" ht="15" customHeight="1" x14ac:dyDescent="0.2">
      <c r="A6" s="7" t="str">
        <f t="shared" si="0"/>
        <v>Donnerstag</v>
      </c>
      <c r="B6" s="13">
        <f t="shared" si="2"/>
        <v>45995</v>
      </c>
      <c r="C6" s="18"/>
      <c r="D6" s="9"/>
      <c r="E6" s="37"/>
      <c r="F6" s="19">
        <f t="shared" si="1"/>
        <v>0</v>
      </c>
      <c r="G6" s="10"/>
    </row>
    <row r="7" spans="1:7" ht="15" customHeight="1" x14ac:dyDescent="0.2">
      <c r="A7" s="2" t="str">
        <f t="shared" si="0"/>
        <v>Freitag</v>
      </c>
      <c r="B7" s="14">
        <f t="shared" si="2"/>
        <v>45996</v>
      </c>
      <c r="C7" s="20"/>
      <c r="D7" s="11"/>
      <c r="E7" s="38"/>
      <c r="F7" s="21">
        <f t="shared" si="1"/>
        <v>0</v>
      </c>
      <c r="G7" s="5"/>
    </row>
    <row r="8" spans="1:7" ht="15" customHeight="1" x14ac:dyDescent="0.2">
      <c r="A8" s="7" t="str">
        <f t="shared" si="0"/>
        <v>Samstag</v>
      </c>
      <c r="B8" s="13">
        <f t="shared" si="2"/>
        <v>45997</v>
      </c>
      <c r="C8" s="18"/>
      <c r="D8" s="9"/>
      <c r="E8" s="37"/>
      <c r="F8" s="19">
        <f t="shared" si="1"/>
        <v>0</v>
      </c>
      <c r="G8" s="10"/>
    </row>
    <row r="9" spans="1:7" ht="15" customHeight="1" x14ac:dyDescent="0.2">
      <c r="A9" s="2" t="str">
        <f t="shared" si="0"/>
        <v>Sonntag</v>
      </c>
      <c r="B9" s="14">
        <f t="shared" si="2"/>
        <v>45998</v>
      </c>
      <c r="C9" s="20"/>
      <c r="D9" s="11"/>
      <c r="E9" s="38"/>
      <c r="F9" s="21">
        <f t="shared" si="1"/>
        <v>0</v>
      </c>
      <c r="G9" s="5"/>
    </row>
    <row r="10" spans="1:7" ht="15" customHeight="1" x14ac:dyDescent="0.2">
      <c r="A10" s="7" t="str">
        <f t="shared" si="0"/>
        <v>Montag</v>
      </c>
      <c r="B10" s="13">
        <f t="shared" si="2"/>
        <v>45999</v>
      </c>
      <c r="C10" s="18"/>
      <c r="D10" s="9"/>
      <c r="E10" s="37"/>
      <c r="F10" s="19">
        <f t="shared" si="1"/>
        <v>0</v>
      </c>
      <c r="G10" s="10"/>
    </row>
    <row r="11" spans="1:7" ht="15" customHeight="1" x14ac:dyDescent="0.2">
      <c r="A11" s="2" t="str">
        <f t="shared" si="0"/>
        <v>Dienstag</v>
      </c>
      <c r="B11" s="14">
        <f t="shared" si="2"/>
        <v>46000</v>
      </c>
      <c r="C11" s="20"/>
      <c r="D11" s="11"/>
      <c r="E11" s="38"/>
      <c r="F11" s="21">
        <f t="shared" si="1"/>
        <v>0</v>
      </c>
      <c r="G11" s="5"/>
    </row>
    <row r="12" spans="1:7" ht="15" customHeight="1" x14ac:dyDescent="0.2">
      <c r="A12" s="7" t="str">
        <f t="shared" si="0"/>
        <v>Mittwoch</v>
      </c>
      <c r="B12" s="13">
        <f t="shared" si="2"/>
        <v>46001</v>
      </c>
      <c r="C12" s="18"/>
      <c r="D12" s="9"/>
      <c r="E12" s="37"/>
      <c r="F12" s="19">
        <f t="shared" si="1"/>
        <v>0</v>
      </c>
      <c r="G12" s="10"/>
    </row>
    <row r="13" spans="1:7" ht="15" customHeight="1" x14ac:dyDescent="0.2">
      <c r="A13" s="2" t="str">
        <f t="shared" si="0"/>
        <v>Donnerstag</v>
      </c>
      <c r="B13" s="14">
        <f t="shared" si="2"/>
        <v>46002</v>
      </c>
      <c r="C13" s="20"/>
      <c r="D13" s="11"/>
      <c r="E13" s="38"/>
      <c r="F13" s="21">
        <f t="shared" si="1"/>
        <v>0</v>
      </c>
      <c r="G13" s="5"/>
    </row>
    <row r="14" spans="1:7" ht="15" customHeight="1" x14ac:dyDescent="0.2">
      <c r="A14" s="7" t="str">
        <f t="shared" si="0"/>
        <v>Freitag</v>
      </c>
      <c r="B14" s="13">
        <f t="shared" si="2"/>
        <v>46003</v>
      </c>
      <c r="C14" s="18"/>
      <c r="D14" s="9"/>
      <c r="E14" s="37"/>
      <c r="F14" s="19">
        <f t="shared" si="1"/>
        <v>0</v>
      </c>
      <c r="G14" s="10"/>
    </row>
    <row r="15" spans="1:7" ht="15" customHeight="1" x14ac:dyDescent="0.2">
      <c r="A15" s="2" t="str">
        <f t="shared" si="0"/>
        <v>Samstag</v>
      </c>
      <c r="B15" s="14">
        <f t="shared" si="2"/>
        <v>46004</v>
      </c>
      <c r="C15" s="20"/>
      <c r="D15" s="11"/>
      <c r="E15" s="38"/>
      <c r="F15" s="21">
        <f t="shared" si="1"/>
        <v>0</v>
      </c>
      <c r="G15" s="5"/>
    </row>
    <row r="16" spans="1:7" ht="15" customHeight="1" x14ac:dyDescent="0.2">
      <c r="A16" s="7" t="str">
        <f t="shared" si="0"/>
        <v>Sonntag</v>
      </c>
      <c r="B16" s="13">
        <f t="shared" si="2"/>
        <v>46005</v>
      </c>
      <c r="C16" s="18"/>
      <c r="D16" s="9"/>
      <c r="E16" s="37"/>
      <c r="F16" s="19">
        <f t="shared" si="1"/>
        <v>0</v>
      </c>
      <c r="G16" s="10"/>
    </row>
    <row r="17" spans="1:7" ht="15" customHeight="1" x14ac:dyDescent="0.2">
      <c r="A17" s="2" t="str">
        <f t="shared" si="0"/>
        <v>Montag</v>
      </c>
      <c r="B17" s="14">
        <f t="shared" si="2"/>
        <v>46006</v>
      </c>
      <c r="C17" s="20"/>
      <c r="D17" s="11"/>
      <c r="E17" s="38"/>
      <c r="F17" s="21">
        <f t="shared" si="1"/>
        <v>0</v>
      </c>
      <c r="G17" s="5"/>
    </row>
    <row r="18" spans="1:7" ht="15" customHeight="1" x14ac:dyDescent="0.2">
      <c r="A18" s="7" t="str">
        <f t="shared" si="0"/>
        <v>Dienstag</v>
      </c>
      <c r="B18" s="13">
        <f t="shared" si="2"/>
        <v>46007</v>
      </c>
      <c r="C18" s="18"/>
      <c r="D18" s="9"/>
      <c r="E18" s="37"/>
      <c r="F18" s="19">
        <f t="shared" si="1"/>
        <v>0</v>
      </c>
      <c r="G18" s="10"/>
    </row>
    <row r="19" spans="1:7" ht="15" customHeight="1" x14ac:dyDescent="0.2">
      <c r="A19" s="2" t="str">
        <f t="shared" si="0"/>
        <v>Mittwoch</v>
      </c>
      <c r="B19" s="14">
        <f t="shared" si="2"/>
        <v>46008</v>
      </c>
      <c r="C19" s="20"/>
      <c r="D19" s="11"/>
      <c r="E19" s="38"/>
      <c r="F19" s="21">
        <f t="shared" si="1"/>
        <v>0</v>
      </c>
      <c r="G19" s="5"/>
    </row>
    <row r="20" spans="1:7" ht="15" customHeight="1" x14ac:dyDescent="0.2">
      <c r="A20" s="7" t="str">
        <f t="shared" si="0"/>
        <v>Donnerstag</v>
      </c>
      <c r="B20" s="13">
        <f t="shared" si="2"/>
        <v>46009</v>
      </c>
      <c r="C20" s="18"/>
      <c r="D20" s="9"/>
      <c r="E20" s="37"/>
      <c r="F20" s="19">
        <f t="shared" si="1"/>
        <v>0</v>
      </c>
      <c r="G20" s="10"/>
    </row>
    <row r="21" spans="1:7" ht="15" customHeight="1" x14ac:dyDescent="0.2">
      <c r="A21" s="2" t="str">
        <f t="shared" si="0"/>
        <v>Freitag</v>
      </c>
      <c r="B21" s="14">
        <f t="shared" si="2"/>
        <v>46010</v>
      </c>
      <c r="C21" s="20"/>
      <c r="D21" s="11"/>
      <c r="E21" s="38"/>
      <c r="F21" s="21">
        <f t="shared" si="1"/>
        <v>0</v>
      </c>
      <c r="G21" s="5"/>
    </row>
    <row r="22" spans="1:7" ht="15" customHeight="1" x14ac:dyDescent="0.2">
      <c r="A22" s="7" t="str">
        <f t="shared" si="0"/>
        <v>Samstag</v>
      </c>
      <c r="B22" s="13">
        <f t="shared" si="2"/>
        <v>46011</v>
      </c>
      <c r="C22" s="18"/>
      <c r="D22" s="9"/>
      <c r="E22" s="37"/>
      <c r="F22" s="19">
        <f t="shared" si="1"/>
        <v>0</v>
      </c>
      <c r="G22" s="10"/>
    </row>
    <row r="23" spans="1:7" ht="15" customHeight="1" x14ac:dyDescent="0.2">
      <c r="A23" s="2" t="str">
        <f t="shared" si="0"/>
        <v>Sonntag</v>
      </c>
      <c r="B23" s="14">
        <f t="shared" si="2"/>
        <v>46012</v>
      </c>
      <c r="C23" s="20"/>
      <c r="D23" s="11"/>
      <c r="E23" s="38"/>
      <c r="F23" s="21">
        <f t="shared" si="1"/>
        <v>0</v>
      </c>
      <c r="G23" s="5"/>
    </row>
    <row r="24" spans="1:7" ht="15" customHeight="1" x14ac:dyDescent="0.2">
      <c r="A24" s="7" t="str">
        <f t="shared" si="0"/>
        <v>Montag</v>
      </c>
      <c r="B24" s="13">
        <f t="shared" si="2"/>
        <v>46013</v>
      </c>
      <c r="C24" s="18"/>
      <c r="D24" s="9"/>
      <c r="E24" s="37"/>
      <c r="F24" s="19">
        <f t="shared" si="1"/>
        <v>0</v>
      </c>
      <c r="G24" s="10"/>
    </row>
    <row r="25" spans="1:7" ht="15" customHeight="1" x14ac:dyDescent="0.2">
      <c r="A25" s="2" t="str">
        <f t="shared" si="0"/>
        <v>Dienstag</v>
      </c>
      <c r="B25" s="14">
        <f t="shared" si="2"/>
        <v>46014</v>
      </c>
      <c r="C25" s="20"/>
      <c r="D25" s="11"/>
      <c r="E25" s="38"/>
      <c r="F25" s="21">
        <f t="shared" si="1"/>
        <v>0</v>
      </c>
      <c r="G25" s="5"/>
    </row>
    <row r="26" spans="1:7" ht="15" customHeight="1" x14ac:dyDescent="0.2">
      <c r="A26" s="7" t="str">
        <f t="shared" si="0"/>
        <v>Mittwoch</v>
      </c>
      <c r="B26" s="13">
        <f t="shared" si="2"/>
        <v>46015</v>
      </c>
      <c r="C26" s="18"/>
      <c r="D26" s="9"/>
      <c r="E26" s="37"/>
      <c r="F26" s="19">
        <f t="shared" si="1"/>
        <v>0</v>
      </c>
      <c r="G26" s="10"/>
    </row>
    <row r="27" spans="1:7" ht="15" customHeight="1" x14ac:dyDescent="0.2">
      <c r="A27" s="2" t="str">
        <f t="shared" si="0"/>
        <v>Donnerstag</v>
      </c>
      <c r="B27" s="14">
        <f t="shared" si="2"/>
        <v>46016</v>
      </c>
      <c r="C27" s="20"/>
      <c r="D27" s="11"/>
      <c r="E27" s="38"/>
      <c r="F27" s="21">
        <f t="shared" si="1"/>
        <v>0</v>
      </c>
      <c r="G27" s="5"/>
    </row>
    <row r="28" spans="1:7" ht="15" customHeight="1" x14ac:dyDescent="0.2">
      <c r="A28" s="7" t="str">
        <f t="shared" si="0"/>
        <v>Freitag</v>
      </c>
      <c r="B28" s="13">
        <f t="shared" si="2"/>
        <v>46017</v>
      </c>
      <c r="C28" s="18"/>
      <c r="D28" s="9"/>
      <c r="E28" s="37"/>
      <c r="F28" s="19">
        <f t="shared" si="1"/>
        <v>0</v>
      </c>
      <c r="G28" s="10"/>
    </row>
    <row r="29" spans="1:7" ht="15" customHeight="1" x14ac:dyDescent="0.2">
      <c r="A29" s="2" t="str">
        <f t="shared" si="0"/>
        <v>Samstag</v>
      </c>
      <c r="B29" s="14">
        <f t="shared" si="2"/>
        <v>46018</v>
      </c>
      <c r="C29" s="20"/>
      <c r="D29" s="11"/>
      <c r="E29" s="38"/>
      <c r="F29" s="21">
        <f t="shared" si="1"/>
        <v>0</v>
      </c>
      <c r="G29" s="5"/>
    </row>
    <row r="30" spans="1:7" ht="15" customHeight="1" x14ac:dyDescent="0.2">
      <c r="A30" s="7" t="str">
        <f t="shared" si="0"/>
        <v>Sonntag</v>
      </c>
      <c r="B30" s="13">
        <f t="shared" si="2"/>
        <v>46019</v>
      </c>
      <c r="C30" s="18"/>
      <c r="D30" s="9"/>
      <c r="E30" s="37"/>
      <c r="F30" s="19">
        <f t="shared" si="1"/>
        <v>0</v>
      </c>
      <c r="G30" s="10"/>
    </row>
    <row r="31" spans="1:7" ht="15" customHeight="1" x14ac:dyDescent="0.2">
      <c r="A31" s="2" t="str">
        <f t="shared" si="0"/>
        <v>Montag</v>
      </c>
      <c r="B31" s="14">
        <f t="shared" si="2"/>
        <v>46020</v>
      </c>
      <c r="C31" s="20"/>
      <c r="D31" s="11"/>
      <c r="E31" s="38"/>
      <c r="F31" s="21">
        <f t="shared" si="1"/>
        <v>0</v>
      </c>
      <c r="G31" s="5"/>
    </row>
    <row r="32" spans="1:7" ht="15" customHeight="1" x14ac:dyDescent="0.2">
      <c r="A32" s="7" t="str">
        <f t="shared" si="0"/>
        <v>Dienstag</v>
      </c>
      <c r="B32" s="13">
        <f t="shared" si="2"/>
        <v>46021</v>
      </c>
      <c r="C32" s="18"/>
      <c r="D32" s="9"/>
      <c r="E32" s="37"/>
      <c r="F32" s="19">
        <f t="shared" si="1"/>
        <v>0</v>
      </c>
      <c r="G32" s="10"/>
    </row>
    <row r="33" spans="1:7" ht="15" customHeight="1" x14ac:dyDescent="0.2">
      <c r="A33" s="22" t="str">
        <f t="shared" si="0"/>
        <v>Mittwoch</v>
      </c>
      <c r="B33" s="23">
        <f t="shared" si="2"/>
        <v>46022</v>
      </c>
      <c r="C33" s="24"/>
      <c r="D33" s="25"/>
      <c r="E33" s="39"/>
      <c r="F33" s="26">
        <f t="shared" si="1"/>
        <v>0</v>
      </c>
      <c r="G33" s="3"/>
    </row>
    <row r="34" spans="1:7" ht="15" x14ac:dyDescent="0.2">
      <c r="D34" s="54" t="s">
        <v>14</v>
      </c>
      <c r="E34" s="55"/>
      <c r="F34" s="34">
        <f>SUMIF(G3:G33,"X",F3:F33)</f>
        <v>0</v>
      </c>
    </row>
    <row r="35" spans="1:7" ht="15" x14ac:dyDescent="0.2">
      <c r="D35" s="54" t="s">
        <v>15</v>
      </c>
      <c r="E35" s="55"/>
      <c r="F35" s="34">
        <f>SUMIF(G3:G33,"",F3:F33)</f>
        <v>0</v>
      </c>
    </row>
  </sheetData>
  <mergeCells count="7">
    <mergeCell ref="G1:G2"/>
    <mergeCell ref="D34:E34"/>
    <mergeCell ref="D35:E35"/>
    <mergeCell ref="A1:A2"/>
    <mergeCell ref="B1:B2"/>
    <mergeCell ref="C1:E1"/>
    <mergeCell ref="F1:F2"/>
  </mergeCells>
  <conditionalFormatting sqref="A3:A33">
    <cfRule type="containsText" dxfId="1" priority="1" operator="containsText" text="Sonntag">
      <formula>NOT(ISERROR(SEARCH("Sonntag",A3)))</formula>
    </cfRule>
    <cfRule type="containsText" dxfId="0" priority="2" operator="containsText" text="Samstag">
      <formula>NOT(ISERROR(SEARCH("Samstag",A3)))</formula>
    </cfRule>
  </conditionalFormatting>
  <pageMargins left="0.7" right="0.7" top="0.78740157499999996" bottom="0.78740157499999996" header="0.3" footer="0.3"/>
  <pageSetup paperSize="9" scale="99" orientation="portrait" r:id="rId1"/>
  <headerFooter>
    <oddHeader>&amp;CDezember 2025</oddHeader>
    <oddFooter>&amp;R&amp;8Andreas Fischer | Wehleweg 4/ Top 43| 1030 Wien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Grunddaten</vt:lpstr>
      <vt:lpstr>Januar</vt:lpstr>
      <vt:lpstr>Februar</vt:lpstr>
      <vt:lpstr>März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Fischer</dc:creator>
  <cp:lastModifiedBy>Andreas Fischer</cp:lastModifiedBy>
  <cp:lastPrinted>2025-07-01T13:50:14Z</cp:lastPrinted>
  <dcterms:created xsi:type="dcterms:W3CDTF">2025-06-30T12:54:50Z</dcterms:created>
  <dcterms:modified xsi:type="dcterms:W3CDTF">2025-09-12T13:02:00Z</dcterms:modified>
</cp:coreProperties>
</file>